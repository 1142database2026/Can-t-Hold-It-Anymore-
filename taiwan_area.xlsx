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YCU\114-2\資料庫管理\專題\嘗試改動\"/>
    </mc:Choice>
  </mc:AlternateContent>
  <xr:revisionPtr revIDLastSave="0" documentId="13_ncr:1_{CA673368-C615-4DA7-9F7F-CB41957ABCDD}" xr6:coauthVersionLast="47" xr6:coauthVersionMax="47" xr10:uidLastSave="{00000000-0000-0000-0000-000000000000}"/>
  <bookViews>
    <workbookView xWindow="-108" yWindow="-108" windowWidth="23256" windowHeight="12456" xr2:uid="{BD0D5B16-E6B0-4204-8A2B-097D3FDD2FCB}"/>
  </bookViews>
  <sheets>
    <sheet name="縣市鄉鎮中英對照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6" i="1" l="1"/>
  <c r="F68" i="1"/>
  <c r="F67" i="1"/>
  <c r="F118" i="1"/>
  <c r="F117" i="1"/>
  <c r="F116" i="1"/>
  <c r="F115" i="1"/>
  <c r="F114" i="1"/>
  <c r="F183" i="1"/>
  <c r="F182" i="1"/>
  <c r="F187" i="1"/>
  <c r="F225" i="1"/>
  <c r="F224" i="1"/>
  <c r="F223" i="1"/>
  <c r="F273" i="1"/>
  <c r="F272" i="1"/>
  <c r="F312" i="1"/>
  <c r="F356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4" i="1"/>
  <c r="F185" i="1"/>
  <c r="F186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2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<sst xmlns="http://schemas.openxmlformats.org/spreadsheetml/2006/main" count="1488" uniqueCount="1375">
  <si>
    <t>100</t>
  </si>
  <si>
    <t>Zhongzheng Dist., Taipei City</t>
  </si>
  <si>
    <t>103</t>
  </si>
  <si>
    <t>Datong Dist., Taipei City</t>
  </si>
  <si>
    <t>104</t>
  </si>
  <si>
    <t>Zhongshan Dist., Taipei City</t>
  </si>
  <si>
    <t>105</t>
  </si>
  <si>
    <t>Songshan Dist., Taipei City</t>
  </si>
  <si>
    <t>106</t>
  </si>
  <si>
    <t>Da’an Dist., Taipei City</t>
  </si>
  <si>
    <t>108</t>
  </si>
  <si>
    <t>Wanhua Dist., Taipei City</t>
  </si>
  <si>
    <t>110</t>
  </si>
  <si>
    <t>Xinyi Dist., Taipei City</t>
  </si>
  <si>
    <t>111</t>
  </si>
  <si>
    <t>Shilin Dist., Taipei City</t>
  </si>
  <si>
    <t>112</t>
  </si>
  <si>
    <t>Beitou Dist., Taipei City</t>
  </si>
  <si>
    <t>114</t>
  </si>
  <si>
    <t>Neihu Dist., Taipei City</t>
  </si>
  <si>
    <t>115</t>
  </si>
  <si>
    <t>Nangang Dist., Taipei City</t>
  </si>
  <si>
    <t>116</t>
  </si>
  <si>
    <t>Wenshan Dist., Taipei City</t>
  </si>
  <si>
    <t>200</t>
  </si>
  <si>
    <t>基隆市仁愛區</t>
  </si>
  <si>
    <t>Ren’ai Dist., Keelung City</t>
  </si>
  <si>
    <t>201</t>
  </si>
  <si>
    <t>基隆市信義區</t>
  </si>
  <si>
    <t>Xinyi Dist., Keelung City</t>
  </si>
  <si>
    <t>202</t>
  </si>
  <si>
    <t>基隆市中正區</t>
  </si>
  <si>
    <t>Zhongzheng Dist., Keelung City</t>
  </si>
  <si>
    <t>203</t>
  </si>
  <si>
    <t>基隆市中山區</t>
  </si>
  <si>
    <t>Zhongshan Dist., Keelung City</t>
  </si>
  <si>
    <t>204</t>
  </si>
  <si>
    <t>基隆市安樂區</t>
  </si>
  <si>
    <t>Anle Dist., Keelung City</t>
  </si>
  <si>
    <t>205</t>
  </si>
  <si>
    <t>基隆市暖暖區</t>
  </si>
  <si>
    <t>Nuannuan Dist., Keelung City</t>
  </si>
  <si>
    <t>206</t>
  </si>
  <si>
    <t>基隆市七堵區</t>
  </si>
  <si>
    <t>Qidu Dist., Keelung City</t>
  </si>
  <si>
    <t>207</t>
  </si>
  <si>
    <t>新北市萬里區</t>
  </si>
  <si>
    <t>Wanli Dist., New Taipei City</t>
  </si>
  <si>
    <t>208</t>
  </si>
  <si>
    <t>新北市金山區</t>
  </si>
  <si>
    <t>Jinshan Dist., New Taipei City</t>
  </si>
  <si>
    <t>209</t>
  </si>
  <si>
    <t>連江縣南竿鄉</t>
  </si>
  <si>
    <t>Nangan Township, Lienchiang County</t>
  </si>
  <si>
    <t>210</t>
  </si>
  <si>
    <t>連江縣北竿鄉</t>
  </si>
  <si>
    <t>Beigan Township, Lienchiang County</t>
  </si>
  <si>
    <t>211</t>
  </si>
  <si>
    <t>連江縣莒光鄉</t>
  </si>
  <si>
    <t>Juguang Township, Lienchiang County</t>
  </si>
  <si>
    <t>212</t>
  </si>
  <si>
    <t>連江縣東引鄉</t>
  </si>
  <si>
    <t>Dongyin Township, Lienchiang County</t>
  </si>
  <si>
    <t>220</t>
  </si>
  <si>
    <t>新北市板橋區</t>
  </si>
  <si>
    <t>Banqiao Dist., New Taipei City</t>
  </si>
  <si>
    <t>221</t>
  </si>
  <si>
    <t>新北市汐止區</t>
  </si>
  <si>
    <t>Xizhi Dist., New Taipei City</t>
  </si>
  <si>
    <t>222</t>
  </si>
  <si>
    <t>新北市深坑區</t>
  </si>
  <si>
    <t>Shenkeng Dist., New Taipei City</t>
  </si>
  <si>
    <t>223</t>
  </si>
  <si>
    <t>新北市石碇區</t>
  </si>
  <si>
    <t>Shiding Dist., New Taipei City</t>
  </si>
  <si>
    <t>224</t>
  </si>
  <si>
    <t>新北市瑞芳區</t>
  </si>
  <si>
    <t>Ruifang Dist., New Taipei City</t>
  </si>
  <si>
    <t>226</t>
  </si>
  <si>
    <t>新北市平溪區</t>
  </si>
  <si>
    <t>Pingxi Dist., New Taipei City</t>
  </si>
  <si>
    <t>227</t>
  </si>
  <si>
    <t>新北市雙溪區</t>
  </si>
  <si>
    <t>Shuangxi Dist., New Taipei City</t>
  </si>
  <si>
    <t>228</t>
  </si>
  <si>
    <t>新北市貢寮區</t>
  </si>
  <si>
    <t>Gongliao Dist., New Taipei City</t>
  </si>
  <si>
    <t>231</t>
  </si>
  <si>
    <t>新北市新店區</t>
  </si>
  <si>
    <t>Xindian Dist., New Taipei City</t>
  </si>
  <si>
    <t>232</t>
  </si>
  <si>
    <t>新北市坪林區</t>
  </si>
  <si>
    <t>Pinglin Dist., New Taipei City</t>
  </si>
  <si>
    <t>233</t>
  </si>
  <si>
    <t>新北市烏來區</t>
  </si>
  <si>
    <t>Wulai Dist., New Taipei City</t>
  </si>
  <si>
    <t>234</t>
  </si>
  <si>
    <t>新北市永和區</t>
  </si>
  <si>
    <t>Yonghe Dist., New Taipei City</t>
  </si>
  <si>
    <t>235</t>
  </si>
  <si>
    <t>新北市中和區</t>
  </si>
  <si>
    <t>Zhonghe Dist., New Taipei City</t>
  </si>
  <si>
    <t>236</t>
  </si>
  <si>
    <t>新北市土城區</t>
  </si>
  <si>
    <t>Tucheng Dist., New Taipei City</t>
  </si>
  <si>
    <t>237</t>
  </si>
  <si>
    <t>新北市三峽區</t>
  </si>
  <si>
    <t>Sanxia Dist., New Taipei City</t>
  </si>
  <si>
    <t>238</t>
  </si>
  <si>
    <t>新北市樹林區</t>
  </si>
  <si>
    <t>Shulin Dist., New Taipei City</t>
  </si>
  <si>
    <t>239</t>
  </si>
  <si>
    <t>新北市鶯歌區</t>
  </si>
  <si>
    <t>Yingge Dist., New Taipei City</t>
  </si>
  <si>
    <t>241</t>
  </si>
  <si>
    <t>新北市三重區</t>
  </si>
  <si>
    <t>Sanchong Dist., New Taipei City</t>
  </si>
  <si>
    <t>242</t>
  </si>
  <si>
    <t>新北市新莊區</t>
  </si>
  <si>
    <t>Xinzhuang Dist., New Taipei City</t>
  </si>
  <si>
    <t>243</t>
  </si>
  <si>
    <t>新北市泰山區</t>
  </si>
  <si>
    <t>Taishan Dist., New Taipei City</t>
  </si>
  <si>
    <t>244</t>
  </si>
  <si>
    <t>新北市林口區</t>
  </si>
  <si>
    <t>Linkou Dist., New Taipei City</t>
  </si>
  <si>
    <t>247</t>
  </si>
  <si>
    <t>新北市蘆洲區</t>
  </si>
  <si>
    <t>Luzhou Dist., New Taipei City</t>
  </si>
  <si>
    <t>248</t>
  </si>
  <si>
    <t>新北市五股區</t>
  </si>
  <si>
    <t>Wugu Dist., New Taipei City</t>
  </si>
  <si>
    <t>249</t>
  </si>
  <si>
    <t>新北市八里區</t>
  </si>
  <si>
    <t>Bali Dist., New Taipei City</t>
  </si>
  <si>
    <t>251</t>
  </si>
  <si>
    <t>新北市淡水區</t>
  </si>
  <si>
    <t>Tamsui Dist., New Taipei City</t>
  </si>
  <si>
    <t>252</t>
  </si>
  <si>
    <t>新北市三芝區</t>
  </si>
  <si>
    <t>Sanzhi Dist., New Taipei City</t>
  </si>
  <si>
    <t>253</t>
  </si>
  <si>
    <t>新北市石門區</t>
  </si>
  <si>
    <t>Shimen Dist., New Taipei City</t>
  </si>
  <si>
    <t>260</t>
  </si>
  <si>
    <t>宜蘭縣宜蘭市</t>
  </si>
  <si>
    <t>Yilan City, Yilan County</t>
  </si>
  <si>
    <t>261</t>
  </si>
  <si>
    <t>宜蘭縣頭城鎮</t>
  </si>
  <si>
    <t>Toucheng Township, Yilan County</t>
  </si>
  <si>
    <t>262</t>
  </si>
  <si>
    <t>宜蘭縣礁溪鄉</t>
  </si>
  <si>
    <t>Jiaoxi Township, Yilan County</t>
  </si>
  <si>
    <t>263</t>
  </si>
  <si>
    <t>宜蘭縣壯圍鄉</t>
  </si>
  <si>
    <t>Zhuangwei Township, Yilan County</t>
  </si>
  <si>
    <t>264</t>
  </si>
  <si>
    <t>宜蘭縣員山鄉</t>
  </si>
  <si>
    <t>Yuanshan Township, Yilan County</t>
  </si>
  <si>
    <t>265</t>
  </si>
  <si>
    <t>宜蘭縣羅東鎮</t>
  </si>
  <si>
    <t>Luodong Township, Yilan County</t>
  </si>
  <si>
    <t>266</t>
  </si>
  <si>
    <t>宜蘭縣三星鄉</t>
  </si>
  <si>
    <t>Sanxing Township, Yilan County</t>
  </si>
  <si>
    <t>267</t>
  </si>
  <si>
    <t>宜蘭縣大同鄉</t>
  </si>
  <si>
    <t>Datong Township, Yilan County</t>
  </si>
  <si>
    <t>268</t>
  </si>
  <si>
    <t>宜蘭縣五結鄉</t>
  </si>
  <si>
    <t>Wujie Township, Yilan County</t>
  </si>
  <si>
    <t>269</t>
  </si>
  <si>
    <t>宜蘭縣冬山鄉</t>
  </si>
  <si>
    <t>Dongshan Township, Yilan County</t>
  </si>
  <si>
    <t>270</t>
  </si>
  <si>
    <t>宜蘭縣蘇澳鎮</t>
  </si>
  <si>
    <t>Su’ao Township, Yilan County</t>
  </si>
  <si>
    <t>272</t>
  </si>
  <si>
    <t>宜蘭縣南澳鄉</t>
  </si>
  <si>
    <t>Nan’ao Township, Yilan County</t>
  </si>
  <si>
    <t>290</t>
  </si>
  <si>
    <t>Diaoyutai</t>
  </si>
  <si>
    <t>300</t>
  </si>
  <si>
    <t>新竹市東區</t>
  </si>
  <si>
    <t>East Dist., Hsinchu City</t>
  </si>
  <si>
    <t>新竹市北區</t>
  </si>
  <si>
    <t>North Dist., Hsinchu City</t>
  </si>
  <si>
    <t>新竹市香山區</t>
  </si>
  <si>
    <t>Xiangshan Dist., Hsinchu City</t>
  </si>
  <si>
    <t>302</t>
  </si>
  <si>
    <t>新竹縣竹北市</t>
  </si>
  <si>
    <t>Zhubei City, Hsinchu County</t>
  </si>
  <si>
    <t>303</t>
  </si>
  <si>
    <t>新竹縣湖口鄉</t>
  </si>
  <si>
    <t>Hukou Township, Hsinchu County</t>
  </si>
  <si>
    <t>304</t>
  </si>
  <si>
    <t>新竹縣新豐鄉</t>
  </si>
  <si>
    <t>Xinfeng Township, Hsinchu County</t>
  </si>
  <si>
    <t>305</t>
  </si>
  <si>
    <t>新竹縣新埔鎮</t>
  </si>
  <si>
    <t>Xinpu Township, Hsinchu County</t>
  </si>
  <si>
    <t>306</t>
  </si>
  <si>
    <t>新竹縣關西鎮</t>
  </si>
  <si>
    <t>Guanxi Township, Hsinchu County</t>
  </si>
  <si>
    <t>307</t>
  </si>
  <si>
    <t>新竹縣芎林鄉</t>
  </si>
  <si>
    <t>Qionglin Township, Hsinchu County</t>
  </si>
  <si>
    <t>308</t>
  </si>
  <si>
    <t>新竹縣寶山鄉</t>
  </si>
  <si>
    <t>Baoshan Township, Hsinchu County</t>
  </si>
  <si>
    <t>310</t>
  </si>
  <si>
    <t>新竹縣竹東鎮</t>
  </si>
  <si>
    <t>Zhudong Township, Hsinchu County</t>
  </si>
  <si>
    <t>311</t>
  </si>
  <si>
    <t>新竹縣五峰鄉</t>
  </si>
  <si>
    <t>Wufeng Township, Hsinchu County</t>
  </si>
  <si>
    <t>312</t>
  </si>
  <si>
    <t>新竹縣橫山鄉</t>
  </si>
  <si>
    <t>Hengshan Township, Hsinchu County</t>
  </si>
  <si>
    <t>313</t>
  </si>
  <si>
    <t>新竹縣尖石鄉</t>
  </si>
  <si>
    <t>Jianshi Township, Hsinchu County</t>
  </si>
  <si>
    <t>314</t>
  </si>
  <si>
    <t>新竹縣北埔鄉</t>
  </si>
  <si>
    <t>Beipu Township, Hsinchu County</t>
  </si>
  <si>
    <t>315</t>
  </si>
  <si>
    <t>新竹縣峨眉鄉</t>
  </si>
  <si>
    <t>Emei Township, Hsinchu County</t>
  </si>
  <si>
    <t>320</t>
  </si>
  <si>
    <t>桃園市中壢區</t>
  </si>
  <si>
    <t>Zhongli Dist., Taoyuan City</t>
  </si>
  <si>
    <t>324</t>
  </si>
  <si>
    <t>桃園市平鎮區</t>
  </si>
  <si>
    <t>Pingzhen Dist., Taoyuan City</t>
  </si>
  <si>
    <t>325</t>
  </si>
  <si>
    <t>桃園市龍潭區</t>
  </si>
  <si>
    <t>Longtan Dist., Taoyuan City</t>
  </si>
  <si>
    <t>326</t>
  </si>
  <si>
    <t>桃園市楊梅區</t>
  </si>
  <si>
    <t>Yangmei Dist., Taoyuan City City</t>
  </si>
  <si>
    <t>327</t>
  </si>
  <si>
    <t>桃園市新屋區</t>
  </si>
  <si>
    <t>Xinwu Dist., Taoyuan City</t>
  </si>
  <si>
    <t>328</t>
  </si>
  <si>
    <t>桃園市觀音區</t>
  </si>
  <si>
    <t>Guanyin Dist., Taoyuan City</t>
  </si>
  <si>
    <t>330</t>
  </si>
  <si>
    <t>桃園市桃園區</t>
  </si>
  <si>
    <t>Taoyuan Dist., Taoyuan City</t>
  </si>
  <si>
    <t>333</t>
  </si>
  <si>
    <t>桃園市龜山區</t>
  </si>
  <si>
    <t>Guishan Dist., Taoyuan City</t>
  </si>
  <si>
    <t>334</t>
  </si>
  <si>
    <t>桃園市八德區</t>
  </si>
  <si>
    <t>Bade Dist., Taoyuan City</t>
  </si>
  <si>
    <t>335</t>
  </si>
  <si>
    <t>桃園市大溪區</t>
  </si>
  <si>
    <t>Daxi Dist., Taoyuan City</t>
  </si>
  <si>
    <t>336</t>
  </si>
  <si>
    <t>桃園市復興區</t>
  </si>
  <si>
    <t>Fuxing Dist., Taoyuan City</t>
  </si>
  <si>
    <t>337</t>
  </si>
  <si>
    <t>桃園市大園區</t>
  </si>
  <si>
    <t>Dayuan Dist., Taoyuan City</t>
  </si>
  <si>
    <t>338</t>
  </si>
  <si>
    <t>桃園市蘆竹區</t>
  </si>
  <si>
    <t>Luzhu Dist., Taoyuan City</t>
  </si>
  <si>
    <t>350</t>
  </si>
  <si>
    <t>苗栗縣竹南鎮</t>
  </si>
  <si>
    <t>Zhunan Township, Miaoli County</t>
  </si>
  <si>
    <t>351</t>
  </si>
  <si>
    <t>苗栗縣頭份市</t>
  </si>
  <si>
    <t>Toufen City, Miaoli County</t>
  </si>
  <si>
    <t>352</t>
  </si>
  <si>
    <t>苗栗縣三灣鄉</t>
  </si>
  <si>
    <t>Sanwan Township, Miaoli County</t>
  </si>
  <si>
    <t>353</t>
  </si>
  <si>
    <t>苗栗縣南庄鄉</t>
  </si>
  <si>
    <t>Nanzhuang Township, Miaoli County</t>
  </si>
  <si>
    <t>354</t>
  </si>
  <si>
    <t>苗栗縣獅潭鄉</t>
  </si>
  <si>
    <t>Shitan Township, Miaoli County</t>
  </si>
  <si>
    <t>356</t>
  </si>
  <si>
    <t>苗栗縣後龍鎮</t>
  </si>
  <si>
    <t>Houlong Township, Miaoli County</t>
  </si>
  <si>
    <t>357</t>
  </si>
  <si>
    <t>苗栗縣通霄鎮</t>
  </si>
  <si>
    <t>Tongxiao Township, Miaoli County</t>
  </si>
  <si>
    <t>358</t>
  </si>
  <si>
    <t>苗栗縣苑裡鎮</t>
  </si>
  <si>
    <t>Yuanli Township, Miaoli County</t>
  </si>
  <si>
    <t>360</t>
  </si>
  <si>
    <t>苗栗縣苗栗市</t>
  </si>
  <si>
    <t>Miaoli City, Miaoli County</t>
  </si>
  <si>
    <t>361</t>
  </si>
  <si>
    <t>苗栗縣造橋鄉</t>
  </si>
  <si>
    <t>Zaoqiao Township, Miaoli County</t>
  </si>
  <si>
    <t>362</t>
  </si>
  <si>
    <t>苗栗縣頭屋鄉</t>
  </si>
  <si>
    <t>Touwu Township, Miaoli County</t>
  </si>
  <si>
    <t>363</t>
  </si>
  <si>
    <t>苗栗縣公館鄉</t>
  </si>
  <si>
    <t>Gongguan Township, Miaoli County</t>
  </si>
  <si>
    <t>364</t>
  </si>
  <si>
    <t>苗栗縣大湖鄉</t>
  </si>
  <si>
    <t>Dahu Township, Miaoli County</t>
  </si>
  <si>
    <t>365</t>
  </si>
  <si>
    <t>苗栗縣泰安鄉</t>
  </si>
  <si>
    <t>Tai’an Township, Miaoli County</t>
  </si>
  <si>
    <t>366</t>
  </si>
  <si>
    <t>苗栗縣銅鑼鄉</t>
  </si>
  <si>
    <t>Tongluo Township, Miaoli County</t>
  </si>
  <si>
    <t>367</t>
  </si>
  <si>
    <t>苗栗縣三義鄉</t>
  </si>
  <si>
    <t>Sanyi Township, Miaoli County</t>
  </si>
  <si>
    <t>368</t>
  </si>
  <si>
    <t>苗栗縣西湖鄉</t>
  </si>
  <si>
    <t>Xihu Township, Miaoli County</t>
  </si>
  <si>
    <t>369</t>
  </si>
  <si>
    <t>苗栗縣卓蘭鎮</t>
  </si>
  <si>
    <t>Zhuolan Township, Miaoli County</t>
  </si>
  <si>
    <t>400</t>
  </si>
  <si>
    <t>Central Dist., Taichung City</t>
  </si>
  <si>
    <t>401</t>
  </si>
  <si>
    <t>East Dist., Taichung City</t>
  </si>
  <si>
    <t>402</t>
  </si>
  <si>
    <t>South Dist., Taichung City</t>
  </si>
  <si>
    <t>403</t>
  </si>
  <si>
    <t>West Dist., Taichung City</t>
  </si>
  <si>
    <t>404</t>
  </si>
  <si>
    <t>North Dist., Taichung City</t>
  </si>
  <si>
    <t>406</t>
  </si>
  <si>
    <t>Beitun Dist., Taichung City</t>
  </si>
  <si>
    <t>407</t>
  </si>
  <si>
    <t>Xitun Dist., Taichung City</t>
  </si>
  <si>
    <t>408</t>
  </si>
  <si>
    <t>Nantun Dist., Taichung City</t>
  </si>
  <si>
    <t>411</t>
  </si>
  <si>
    <t>Taiping Dist., Taichung City</t>
  </si>
  <si>
    <t>412</t>
  </si>
  <si>
    <t>Dali Dist., Taichung City</t>
  </si>
  <si>
    <t>413</t>
  </si>
  <si>
    <t>Wufeng Dist., Taichung City</t>
  </si>
  <si>
    <t>414</t>
  </si>
  <si>
    <t>Wuri Dist., Taichung City</t>
  </si>
  <si>
    <t>420</t>
  </si>
  <si>
    <t>Fengyuan Dist., Taichung City</t>
  </si>
  <si>
    <t>421</t>
  </si>
  <si>
    <t>Houli Dist., Taichung City</t>
  </si>
  <si>
    <t>422</t>
  </si>
  <si>
    <t>Shigang Dist., Taichung City</t>
  </si>
  <si>
    <t>423</t>
  </si>
  <si>
    <t>Dongshi Dist., Taichung City</t>
  </si>
  <si>
    <t>424</t>
  </si>
  <si>
    <t>Heping Dist., Taichung City</t>
  </si>
  <si>
    <t>426</t>
  </si>
  <si>
    <t>Xinshe Dist., Taichung City</t>
  </si>
  <si>
    <t>427</t>
  </si>
  <si>
    <t>Tanzi Dist., Taichung City</t>
  </si>
  <si>
    <t>428</t>
  </si>
  <si>
    <t>Daya Dist., Taichung City</t>
  </si>
  <si>
    <t>429</t>
  </si>
  <si>
    <t>Shengang Dist., Taichung City</t>
  </si>
  <si>
    <t>432</t>
  </si>
  <si>
    <t>Dadu Dist., Taichung City</t>
  </si>
  <si>
    <t>433</t>
  </si>
  <si>
    <t>Shalu Dist., Taichung City</t>
  </si>
  <si>
    <t>434</t>
  </si>
  <si>
    <t>Longjing Dist., Taichung City</t>
  </si>
  <si>
    <t>435</t>
  </si>
  <si>
    <t>Wuqi Dist., Taichung City</t>
  </si>
  <si>
    <t>436</t>
  </si>
  <si>
    <t>Qingshui Dist., Taichung City</t>
  </si>
  <si>
    <t>437</t>
  </si>
  <si>
    <t>Dajia Dist., Taichung City</t>
  </si>
  <si>
    <t>438</t>
  </si>
  <si>
    <t>Waipu Dist., Taichung City</t>
  </si>
  <si>
    <t>439</t>
  </si>
  <si>
    <t>Da’an Dist., Taichung City</t>
  </si>
  <si>
    <t>500</t>
  </si>
  <si>
    <t>彰化縣彰化市</t>
  </si>
  <si>
    <t>Changhua City, Changhua County</t>
  </si>
  <si>
    <t>502</t>
  </si>
  <si>
    <t>彰化縣芬園鄉</t>
  </si>
  <si>
    <t>Fenyuan Township, Changhua County</t>
  </si>
  <si>
    <t>503</t>
  </si>
  <si>
    <t>彰化縣花壇鄉</t>
  </si>
  <si>
    <t>Huatan Township, Changhua County</t>
  </si>
  <si>
    <t>504</t>
  </si>
  <si>
    <t>彰化縣秀水鄉</t>
  </si>
  <si>
    <t>Xiushui Township, Changhua County</t>
  </si>
  <si>
    <t>505</t>
  </si>
  <si>
    <t>彰化縣鹿港鎮</t>
  </si>
  <si>
    <t>Lukang Township, Changhua County</t>
  </si>
  <si>
    <t>506</t>
  </si>
  <si>
    <t>彰化縣福興鄉</t>
  </si>
  <si>
    <t>Fuxing Township, Changhua County</t>
  </si>
  <si>
    <t>507</t>
  </si>
  <si>
    <t>彰化縣線西鄉</t>
  </si>
  <si>
    <t>Xianxi Township, Changhua County</t>
  </si>
  <si>
    <t>508</t>
  </si>
  <si>
    <t>彰化縣和美鎮</t>
  </si>
  <si>
    <t>Hemei Township, Changhua County</t>
  </si>
  <si>
    <t>509</t>
  </si>
  <si>
    <t>彰化縣伸港鄉</t>
  </si>
  <si>
    <t>Shengang Township, Changhua County</t>
  </si>
  <si>
    <t>510</t>
  </si>
  <si>
    <t>彰化縣員林市</t>
  </si>
  <si>
    <t>Yuanlin City, Changhua County</t>
  </si>
  <si>
    <t>511</t>
  </si>
  <si>
    <t>彰化縣社頭鄉</t>
  </si>
  <si>
    <t>Shetou Township, Changhua County</t>
  </si>
  <si>
    <t>512</t>
  </si>
  <si>
    <t>彰化縣永靖鄉</t>
  </si>
  <si>
    <t>Yongjing Township, Changhua County</t>
  </si>
  <si>
    <t>513</t>
  </si>
  <si>
    <t>彰化縣埔心鄉</t>
  </si>
  <si>
    <t>Puxin Township, Changhua County</t>
  </si>
  <si>
    <t>514</t>
  </si>
  <si>
    <t>彰化縣溪湖鎮</t>
  </si>
  <si>
    <t>Xihu Township, Changhua County</t>
  </si>
  <si>
    <t>515</t>
  </si>
  <si>
    <t>彰化縣大村鄉</t>
  </si>
  <si>
    <t>Dacun Township, Changhua County</t>
  </si>
  <si>
    <t>516</t>
  </si>
  <si>
    <t>彰化縣埔鹽鄉</t>
  </si>
  <si>
    <t>Puyan Township, Changhua County</t>
  </si>
  <si>
    <t>520</t>
  </si>
  <si>
    <t>彰化縣田中鎮</t>
  </si>
  <si>
    <t>Tianzhong Township, Changhua County</t>
  </si>
  <si>
    <t>521</t>
  </si>
  <si>
    <t>彰化縣北斗鎮</t>
  </si>
  <si>
    <t>Beidou Township, Changhua County</t>
  </si>
  <si>
    <t>522</t>
  </si>
  <si>
    <t>彰化縣田尾鄉</t>
  </si>
  <si>
    <t>Tianwei Township, Changhua County</t>
  </si>
  <si>
    <t>523</t>
  </si>
  <si>
    <t>彰化縣埤頭鄉</t>
  </si>
  <si>
    <t>Pitou Township, Changhua County</t>
  </si>
  <si>
    <t>524</t>
  </si>
  <si>
    <t>彰化縣溪州鄉</t>
  </si>
  <si>
    <t>Xizhou Township, Changhua County</t>
  </si>
  <si>
    <t>525</t>
  </si>
  <si>
    <t>彰化縣竹塘鄉</t>
  </si>
  <si>
    <t>Zhutang Township, Changhua County</t>
  </si>
  <si>
    <t>526</t>
  </si>
  <si>
    <t>彰化縣二林鎮</t>
  </si>
  <si>
    <t>Erlin Township, Changhua County</t>
  </si>
  <si>
    <t>527</t>
  </si>
  <si>
    <t>彰化縣大城鄉</t>
  </si>
  <si>
    <t>Dacheng Township, Changhua County</t>
  </si>
  <si>
    <t>528</t>
  </si>
  <si>
    <t>彰化縣芳苑鄉</t>
  </si>
  <si>
    <t>Fangyuan Township, Changhua County</t>
  </si>
  <si>
    <t>530</t>
  </si>
  <si>
    <t>彰化縣二水鄉</t>
  </si>
  <si>
    <t>Ershui Township, Changhua County</t>
  </si>
  <si>
    <t>540</t>
  </si>
  <si>
    <t>南投縣南投市</t>
  </si>
  <si>
    <t>Nantou City, Nantou County</t>
  </si>
  <si>
    <t>541</t>
  </si>
  <si>
    <t>南投縣中寮鄉</t>
  </si>
  <si>
    <t>Zhongliao Township, Nantou County</t>
  </si>
  <si>
    <t>542</t>
  </si>
  <si>
    <t>南投縣草屯鎮</t>
  </si>
  <si>
    <t>Caotun Township, Nantou County</t>
  </si>
  <si>
    <t>544</t>
  </si>
  <si>
    <t>南投縣國姓鄉</t>
  </si>
  <si>
    <t>Guoxing Township, Nantou County</t>
  </si>
  <si>
    <t>545</t>
  </si>
  <si>
    <t>南投縣埔里鎮</t>
  </si>
  <si>
    <t>Puli Township, Nantou County</t>
  </si>
  <si>
    <t>546</t>
  </si>
  <si>
    <t>南投縣仁愛鄉</t>
  </si>
  <si>
    <t>Ren’ai Township, Nantou County</t>
  </si>
  <si>
    <t>551</t>
  </si>
  <si>
    <t>南投縣名間鄉</t>
  </si>
  <si>
    <t>Mingjian Township, Nantou County</t>
  </si>
  <si>
    <t>552</t>
  </si>
  <si>
    <t>南投縣集集鎮</t>
  </si>
  <si>
    <t>Jiji Township, Nantou County</t>
  </si>
  <si>
    <t>553</t>
  </si>
  <si>
    <t>南投縣水里鄉</t>
  </si>
  <si>
    <t>Shuili Township, Nantou County</t>
  </si>
  <si>
    <t>555</t>
  </si>
  <si>
    <t>南投縣魚池鄉</t>
  </si>
  <si>
    <t>Yuchi Township, Nantou County</t>
  </si>
  <si>
    <t>556</t>
  </si>
  <si>
    <t>南投縣信義鄉</t>
  </si>
  <si>
    <t>Xinyi Township, Nantou County</t>
  </si>
  <si>
    <t>557</t>
  </si>
  <si>
    <t>南投縣竹山鎮</t>
  </si>
  <si>
    <t>Zhushan Township, Nantou County</t>
  </si>
  <si>
    <t>558</t>
  </si>
  <si>
    <t>南投縣鹿谷鄉</t>
  </si>
  <si>
    <t>Lugu Township, Nantou County</t>
  </si>
  <si>
    <t>600</t>
  </si>
  <si>
    <t>嘉義市東區</t>
  </si>
  <si>
    <t>East Dist., Chiayi City</t>
  </si>
  <si>
    <t>嘉義市西區</t>
  </si>
  <si>
    <t>West Dist., Chiayi City</t>
  </si>
  <si>
    <t>602</t>
  </si>
  <si>
    <t>嘉義縣番路鄉</t>
  </si>
  <si>
    <t>Fanlu Township, Chiayi County</t>
  </si>
  <si>
    <t>603</t>
  </si>
  <si>
    <t>嘉義縣梅山鄉</t>
  </si>
  <si>
    <t>Meishan Township, Chiayi County</t>
  </si>
  <si>
    <t>604</t>
  </si>
  <si>
    <t>嘉義縣竹崎鄉</t>
  </si>
  <si>
    <t>Zhuqi Township, Chiayi County</t>
  </si>
  <si>
    <t>605</t>
  </si>
  <si>
    <t>嘉義縣阿里山鄉</t>
  </si>
  <si>
    <t>Alishan Township, Chiayi County</t>
  </si>
  <si>
    <t>606</t>
  </si>
  <si>
    <t>嘉義縣中埔鄉</t>
  </si>
  <si>
    <t>Zhongpu Township, Chiayi County</t>
  </si>
  <si>
    <t>607</t>
  </si>
  <si>
    <t>嘉義縣大埔鄉</t>
  </si>
  <si>
    <t>Dapu Township, Chiayi County</t>
  </si>
  <si>
    <t>608</t>
  </si>
  <si>
    <t>嘉義縣水上鄉</t>
  </si>
  <si>
    <t>Shuishang Township, Chiayi County</t>
  </si>
  <si>
    <t>611</t>
  </si>
  <si>
    <t>嘉義縣鹿草鄉</t>
  </si>
  <si>
    <t>Lucao Township, Chiayi County</t>
  </si>
  <si>
    <t>612</t>
  </si>
  <si>
    <t>嘉義縣太保市</t>
  </si>
  <si>
    <t>Taibao City, Chiayi County</t>
  </si>
  <si>
    <t>613</t>
  </si>
  <si>
    <t>嘉義縣朴子市</t>
  </si>
  <si>
    <t>Puzi City, Chiayi County</t>
  </si>
  <si>
    <t>614</t>
  </si>
  <si>
    <t>嘉義縣東石鄉</t>
  </si>
  <si>
    <t>Dongshi Township, Chiayi County</t>
  </si>
  <si>
    <t>615</t>
  </si>
  <si>
    <t>嘉義縣六腳鄉</t>
  </si>
  <si>
    <t>Liujiao Township, Chiayi County</t>
  </si>
  <si>
    <t>616</t>
  </si>
  <si>
    <t>嘉義縣新港鄉</t>
  </si>
  <si>
    <t>Xingang Township, Chiayi County</t>
  </si>
  <si>
    <t>621</t>
  </si>
  <si>
    <t>嘉義縣民雄鄉</t>
  </si>
  <si>
    <t>Minxiong Township, Chiayi County</t>
  </si>
  <si>
    <t>622</t>
  </si>
  <si>
    <t>嘉義縣大林鎮</t>
  </si>
  <si>
    <t>Dalin Township, Chiayi County</t>
  </si>
  <si>
    <t>623</t>
  </si>
  <si>
    <t>嘉義縣溪口鄉</t>
  </si>
  <si>
    <t>Xikou Township, Chiayi County</t>
  </si>
  <si>
    <t>624</t>
  </si>
  <si>
    <t>嘉義縣義竹鄉</t>
  </si>
  <si>
    <t>Yizhu Township, Chiayi County</t>
  </si>
  <si>
    <t>625</t>
  </si>
  <si>
    <t>嘉義縣布袋鎮</t>
  </si>
  <si>
    <t>Budai Township, Chiayi County</t>
  </si>
  <si>
    <t>630</t>
  </si>
  <si>
    <t>雲林縣斗南鎮</t>
  </si>
  <si>
    <t>Dounan Township, Yunlin County</t>
  </si>
  <si>
    <t>631</t>
  </si>
  <si>
    <t>雲林縣大埤鄉</t>
  </si>
  <si>
    <t>Dapi Township, Yunlin County</t>
  </si>
  <si>
    <t>632</t>
  </si>
  <si>
    <t>雲林縣虎尾鎮</t>
  </si>
  <si>
    <t>Huwei Township, Yunlin County</t>
  </si>
  <si>
    <t>633</t>
  </si>
  <si>
    <t>雲林縣土庫鎮</t>
  </si>
  <si>
    <t>Tuku Township, Yunlin County</t>
  </si>
  <si>
    <t>634</t>
  </si>
  <si>
    <t>雲林縣褒忠鄉</t>
  </si>
  <si>
    <t>Baozhong Township, Yunlin County</t>
  </si>
  <si>
    <t>635</t>
  </si>
  <si>
    <t>雲林縣東勢鄉</t>
  </si>
  <si>
    <t>Dongshi Township, Yunlin County</t>
  </si>
  <si>
    <t>636</t>
  </si>
  <si>
    <t>Taixi Township, Yunlin County</t>
  </si>
  <si>
    <t>637</t>
  </si>
  <si>
    <t>雲林縣崙背鄉</t>
  </si>
  <si>
    <t>Lunbei Township, Yunlin County</t>
  </si>
  <si>
    <t>638</t>
  </si>
  <si>
    <t>雲林縣麥寮鄉</t>
  </si>
  <si>
    <t>Mailiao Township, Yunlin County</t>
  </si>
  <si>
    <t>640</t>
  </si>
  <si>
    <t>雲林縣斗六市</t>
  </si>
  <si>
    <t>Douliu City, Yunlin County</t>
  </si>
  <si>
    <t>643</t>
  </si>
  <si>
    <t>雲林縣林內鄉</t>
  </si>
  <si>
    <t>Linnei Township, Yunlin County</t>
  </si>
  <si>
    <t>646</t>
  </si>
  <si>
    <t>雲林縣古坑鄉</t>
  </si>
  <si>
    <t>Gukeng Township, Yunlin County</t>
  </si>
  <si>
    <t>647</t>
  </si>
  <si>
    <t>雲林縣莿桐鄉</t>
  </si>
  <si>
    <t>Citong Township, Yunlin County</t>
  </si>
  <si>
    <t>648</t>
  </si>
  <si>
    <t>雲林縣西螺鎮</t>
  </si>
  <si>
    <t>Xiluo Township, Yunlin County</t>
  </si>
  <si>
    <t>649</t>
  </si>
  <si>
    <t>雲林縣二崙鄉</t>
  </si>
  <si>
    <t>Erlun Township, Yunlin County</t>
  </si>
  <si>
    <t>651</t>
  </si>
  <si>
    <t>雲林縣北港鎮</t>
  </si>
  <si>
    <t>Beigang Township, Yunlin County</t>
  </si>
  <si>
    <t>652</t>
  </si>
  <si>
    <t>雲林縣水林鄉</t>
  </si>
  <si>
    <t>Shuilin Township, Yunlin County</t>
  </si>
  <si>
    <t>653</t>
  </si>
  <si>
    <t>雲林縣口湖鄉</t>
  </si>
  <si>
    <t>Kouhu Township, Yunlin County</t>
  </si>
  <si>
    <t>654</t>
  </si>
  <si>
    <t>雲林縣四湖鄉</t>
  </si>
  <si>
    <t>Sihu Township, Yunlin County</t>
  </si>
  <si>
    <t>655</t>
  </si>
  <si>
    <t>雲林縣元長鄉</t>
  </si>
  <si>
    <t>Yuanzhang Township, Yunlin County</t>
  </si>
  <si>
    <t>700</t>
  </si>
  <si>
    <t>West Central Dist., Tainan City</t>
  </si>
  <si>
    <t>701</t>
  </si>
  <si>
    <t>East Dist., Tainan City</t>
  </si>
  <si>
    <t>702</t>
  </si>
  <si>
    <t>South Dist., Tainan City</t>
  </si>
  <si>
    <t>704</t>
  </si>
  <si>
    <t>North Dist., Tainan City</t>
  </si>
  <si>
    <t>708</t>
  </si>
  <si>
    <t>Anping Dist., Tainan City</t>
  </si>
  <si>
    <t>709</t>
  </si>
  <si>
    <t>Annan Dist., Tainan City</t>
  </si>
  <si>
    <t>710</t>
  </si>
  <si>
    <t>Yongkang Dist., Tainan City</t>
  </si>
  <si>
    <t>711</t>
  </si>
  <si>
    <t>Guiren Dist., Tainan City</t>
  </si>
  <si>
    <t>712</t>
  </si>
  <si>
    <t>Xinhua Dist., Tainan City</t>
  </si>
  <si>
    <t>713</t>
  </si>
  <si>
    <t>Zuozhen Dist., Tainan City</t>
  </si>
  <si>
    <t>714</t>
  </si>
  <si>
    <t>Yujing Dist., Tainan City</t>
  </si>
  <si>
    <t>715</t>
  </si>
  <si>
    <t>Nanxi Dist., Tainan City</t>
  </si>
  <si>
    <t>716</t>
  </si>
  <si>
    <t>Nanhua Dist., Tainan City</t>
  </si>
  <si>
    <t>717</t>
  </si>
  <si>
    <t>Rende Dist., Tainan City</t>
  </si>
  <si>
    <t>718</t>
  </si>
  <si>
    <t>Guanmiao Dist., Tainan City</t>
  </si>
  <si>
    <t>719</t>
  </si>
  <si>
    <t>Longqi Dist., Tainan City</t>
  </si>
  <si>
    <t>720</t>
  </si>
  <si>
    <t>Guantian Dist., Tainan City</t>
  </si>
  <si>
    <t>721</t>
  </si>
  <si>
    <t>Madou Dist., Tainan City</t>
  </si>
  <si>
    <t>722</t>
  </si>
  <si>
    <t>Jiali Dist., Tainan City</t>
  </si>
  <si>
    <t>723</t>
  </si>
  <si>
    <t>Xigang Dist., Tainan City</t>
  </si>
  <si>
    <t>724</t>
  </si>
  <si>
    <t>Qigu Dist., Tainan City</t>
  </si>
  <si>
    <t>725</t>
  </si>
  <si>
    <t>Jiangjun Dist., Tainan City</t>
  </si>
  <si>
    <t>726</t>
  </si>
  <si>
    <t>Xuejia Dist., Tainan City</t>
  </si>
  <si>
    <t>727</t>
  </si>
  <si>
    <t>Beimen Dist., Tainan City</t>
  </si>
  <si>
    <t>730</t>
  </si>
  <si>
    <t>Xinying Dist., Tainan City</t>
  </si>
  <si>
    <t>731</t>
  </si>
  <si>
    <t>Houbi Dist., Tainan City</t>
  </si>
  <si>
    <t>732</t>
  </si>
  <si>
    <t>Baihe Dist., Tainan City</t>
  </si>
  <si>
    <t>733</t>
  </si>
  <si>
    <t>Dongshan Dist., Tainan City</t>
  </si>
  <si>
    <t>734</t>
  </si>
  <si>
    <t>Liujia Dist., Tainan City</t>
  </si>
  <si>
    <t>735</t>
  </si>
  <si>
    <t>Xiaying Dist., Tainan City</t>
  </si>
  <si>
    <t>736</t>
  </si>
  <si>
    <t>Liuying Dist., Tainan City</t>
  </si>
  <si>
    <t>737</t>
  </si>
  <si>
    <t>Yanshui Dist., Tainan City</t>
  </si>
  <si>
    <t>741</t>
  </si>
  <si>
    <t>Shanhua Dist., Tainan City</t>
  </si>
  <si>
    <t>742</t>
  </si>
  <si>
    <t>Danei Dist., Tainan City</t>
  </si>
  <si>
    <t>743</t>
  </si>
  <si>
    <t>Shanshang Dist., Tainan City</t>
  </si>
  <si>
    <t>744</t>
  </si>
  <si>
    <t>Xinshi Dist., Tainan City</t>
  </si>
  <si>
    <t>745</t>
  </si>
  <si>
    <t>Anding Dist., Tainan City</t>
  </si>
  <si>
    <t>800</t>
  </si>
  <si>
    <t>高雄市新興區</t>
  </si>
  <si>
    <t>Xinxing Dist., Kaohsiung City</t>
  </si>
  <si>
    <t>801</t>
  </si>
  <si>
    <t>高雄市前金區</t>
  </si>
  <si>
    <t>Qianjin Dist., Kaohsiung City</t>
  </si>
  <si>
    <t>802</t>
  </si>
  <si>
    <t>高雄市苓雅區</t>
  </si>
  <si>
    <t>Lingya Dist., Kaohsiung City</t>
  </si>
  <si>
    <t>803</t>
  </si>
  <si>
    <t>高雄市鹽埕區</t>
  </si>
  <si>
    <t>Yancheng Dist., Kaohsiung City</t>
  </si>
  <si>
    <t>804</t>
  </si>
  <si>
    <t>高雄市鼓山區</t>
  </si>
  <si>
    <t>Gushan Dist., Kaohsiung City</t>
  </si>
  <si>
    <t>805</t>
  </si>
  <si>
    <t>高雄市旗津區</t>
  </si>
  <si>
    <t>Qijin Dist., Kaohsiung City</t>
  </si>
  <si>
    <t>806</t>
  </si>
  <si>
    <t>高雄市前鎮區</t>
  </si>
  <si>
    <t>Qianzhen Dist., Kaohsiung City</t>
  </si>
  <si>
    <t>807</t>
  </si>
  <si>
    <t>高雄市三民區</t>
  </si>
  <si>
    <t>Sanmin Dist., Kaohsiung City</t>
  </si>
  <si>
    <t>811</t>
  </si>
  <si>
    <t>高雄市楠梓區</t>
  </si>
  <si>
    <t>Nanzi Dist., Kaohsiung City</t>
  </si>
  <si>
    <t>812</t>
  </si>
  <si>
    <t>高雄市小港區</t>
  </si>
  <si>
    <t>Xiaogang Dist., Kaohsiung City</t>
  </si>
  <si>
    <t>813</t>
  </si>
  <si>
    <t>高雄市左營區</t>
  </si>
  <si>
    <t>Zuoying Dist., Kaohsiung City</t>
  </si>
  <si>
    <t>814</t>
  </si>
  <si>
    <t>高雄市仁武區</t>
  </si>
  <si>
    <t>Renwu Dist., Kaohsiung City</t>
  </si>
  <si>
    <t>815</t>
  </si>
  <si>
    <t>高雄市大社區</t>
  </si>
  <si>
    <t>Dashe Dist., Kaohsiung City</t>
  </si>
  <si>
    <t>817</t>
  </si>
  <si>
    <t>高雄市東沙群島</t>
  </si>
  <si>
    <t>Dongsha Islands, Nanhai Islands</t>
  </si>
  <si>
    <t>819</t>
  </si>
  <si>
    <t>高雄市南沙群島</t>
  </si>
  <si>
    <t>Nansha Islands, Nanhai Islands</t>
  </si>
  <si>
    <t>820</t>
  </si>
  <si>
    <t>高雄市岡山區</t>
  </si>
  <si>
    <t>Gangshan Dist., Kaohsiung City</t>
  </si>
  <si>
    <t>821</t>
  </si>
  <si>
    <t>高雄市路竹區</t>
  </si>
  <si>
    <t>Luzhu Dist., Kaohsiung City</t>
  </si>
  <si>
    <t>822</t>
  </si>
  <si>
    <t>高雄市阿蓮區</t>
  </si>
  <si>
    <t>Alian Dist., Kaohsiung City</t>
  </si>
  <si>
    <t>823</t>
  </si>
  <si>
    <t>高雄市田寮區</t>
  </si>
  <si>
    <t>Tianliao Dist., Kaohsiung City</t>
  </si>
  <si>
    <t>824</t>
  </si>
  <si>
    <t>高雄市燕巢區</t>
  </si>
  <si>
    <t>Yanchao Dist., Kaohsiung City</t>
  </si>
  <si>
    <t>825</t>
  </si>
  <si>
    <t>高雄市橋頭區</t>
  </si>
  <si>
    <t>Qiaotou Dist., Kaohsiung City</t>
  </si>
  <si>
    <t>826</t>
  </si>
  <si>
    <t>高雄市梓官區</t>
  </si>
  <si>
    <t>Ziguan Dist., Kaohsiung City</t>
  </si>
  <si>
    <t>827</t>
  </si>
  <si>
    <t>高雄市彌陀區</t>
  </si>
  <si>
    <t>Mituo Dist., Kaohsiung City</t>
  </si>
  <si>
    <t>828</t>
  </si>
  <si>
    <t>高雄市永安區</t>
  </si>
  <si>
    <t>Yong’an Dist., Kaohsiung City</t>
  </si>
  <si>
    <t>829</t>
  </si>
  <si>
    <t>高雄市湖內區</t>
  </si>
  <si>
    <t>Hunei Dist., Kaohsiung City</t>
  </si>
  <si>
    <t>830</t>
  </si>
  <si>
    <t>高雄市鳳山區</t>
  </si>
  <si>
    <t>Fengshan Dist., Kaohsiung City</t>
  </si>
  <si>
    <t>831</t>
  </si>
  <si>
    <t>高雄市大寮區</t>
  </si>
  <si>
    <t>Daliao Dist., Kaohsiung City</t>
  </si>
  <si>
    <t>832</t>
  </si>
  <si>
    <t>高雄市林園區</t>
  </si>
  <si>
    <t>Linyuan Dist., Kaohsiung City</t>
  </si>
  <si>
    <t>833</t>
  </si>
  <si>
    <t>高雄市鳥松區</t>
  </si>
  <si>
    <t>Niaosong Dist., Kaohsiung City</t>
  </si>
  <si>
    <t>840</t>
  </si>
  <si>
    <t>高雄市大樹區</t>
  </si>
  <si>
    <t>Dashu Dist., Kaohsiung City</t>
  </si>
  <si>
    <t>842</t>
  </si>
  <si>
    <t>高雄市旗山區</t>
  </si>
  <si>
    <t>Qishan Dist., Kaohsiung City</t>
  </si>
  <si>
    <t>843</t>
  </si>
  <si>
    <t>高雄市美濃區</t>
  </si>
  <si>
    <t>Meinong Dist., Kaohsiung City</t>
  </si>
  <si>
    <t>844</t>
  </si>
  <si>
    <t>高雄市六龜區</t>
  </si>
  <si>
    <t>Liugui Dist., Kaohsiung City</t>
  </si>
  <si>
    <t>845</t>
  </si>
  <si>
    <t>高雄市內門區</t>
  </si>
  <si>
    <t>Neimen Dist., Kaohsiung City</t>
  </si>
  <si>
    <t>846</t>
  </si>
  <si>
    <t>高雄市杉林區</t>
  </si>
  <si>
    <t>Shanlin Dist., Kaohsiung City</t>
  </si>
  <si>
    <t>847</t>
  </si>
  <si>
    <t>高雄市甲仙區</t>
  </si>
  <si>
    <t>Jiaxian Dist., Kaohsiung City</t>
  </si>
  <si>
    <t>848</t>
  </si>
  <si>
    <t>高雄市桃源區</t>
  </si>
  <si>
    <t>Taoyuan Dist., Kaohsiung City</t>
  </si>
  <si>
    <t>849</t>
  </si>
  <si>
    <t>高雄市那瑪夏區</t>
  </si>
  <si>
    <t>Namaxia Dist., Kaohsiung City</t>
  </si>
  <si>
    <t>851</t>
  </si>
  <si>
    <t>高雄市茂林區</t>
  </si>
  <si>
    <t>Maolin Dist., Kaohsiung City</t>
  </si>
  <si>
    <t>852</t>
  </si>
  <si>
    <t>高雄市茄萣區</t>
  </si>
  <si>
    <t>Qieding Dist., Kaohsiung City</t>
  </si>
  <si>
    <t>880</t>
  </si>
  <si>
    <t>澎湖縣馬公市</t>
  </si>
  <si>
    <t>Magong City, Penghu County</t>
  </si>
  <si>
    <t>881</t>
  </si>
  <si>
    <t>澎湖縣西嶼鄉</t>
  </si>
  <si>
    <t>Xiyu Township, Penghu County</t>
  </si>
  <si>
    <t>882</t>
  </si>
  <si>
    <t>澎湖縣望安鄉</t>
  </si>
  <si>
    <t>Wang’an Township, Penghu County</t>
  </si>
  <si>
    <t>883</t>
  </si>
  <si>
    <t>澎湖縣七美鄉</t>
  </si>
  <si>
    <t>Qimei Township, Penghu County</t>
  </si>
  <si>
    <t>884</t>
  </si>
  <si>
    <t>澎湖縣白沙鄉</t>
  </si>
  <si>
    <t>Baisha Township, Penghu County</t>
  </si>
  <si>
    <t>885</t>
  </si>
  <si>
    <t>澎湖縣湖西鄉</t>
  </si>
  <si>
    <t>Huxi Township, Penghu County</t>
  </si>
  <si>
    <t>890</t>
  </si>
  <si>
    <t>金門縣金沙鎮</t>
  </si>
  <si>
    <t>Jinsha Township, Kinmen County</t>
  </si>
  <si>
    <t>891</t>
  </si>
  <si>
    <t>金門縣金湖鎮</t>
  </si>
  <si>
    <t>Jinhu Township, Kinmen County</t>
  </si>
  <si>
    <t>892</t>
  </si>
  <si>
    <t>金門縣金寧鄉</t>
  </si>
  <si>
    <t>Jinning Township, Kinmen County</t>
  </si>
  <si>
    <t>893</t>
  </si>
  <si>
    <t>金門縣金城鎮</t>
  </si>
  <si>
    <t>Jincheng Township, Kinmen County</t>
  </si>
  <si>
    <t>894</t>
  </si>
  <si>
    <t>金門縣烈嶼鄉</t>
  </si>
  <si>
    <t>Lieyu Township, Kinmen County</t>
  </si>
  <si>
    <t>896</t>
  </si>
  <si>
    <t>金門縣烏坵鄉</t>
  </si>
  <si>
    <t>Wuqiu Township, Kinmen County</t>
  </si>
  <si>
    <t>900</t>
  </si>
  <si>
    <t>屏東縣屏東市</t>
  </si>
  <si>
    <t>Pingtung City, Pingtung County</t>
  </si>
  <si>
    <t>901</t>
  </si>
  <si>
    <t>屏東縣三地門鄉</t>
  </si>
  <si>
    <t>Sandimen Township, Pingtung County</t>
  </si>
  <si>
    <t>902</t>
  </si>
  <si>
    <t>Wutai Township, Pingtung County</t>
  </si>
  <si>
    <t>903</t>
  </si>
  <si>
    <t>屏東縣瑪家鄉</t>
  </si>
  <si>
    <t>Majia Township, Pingtung County</t>
  </si>
  <si>
    <t>904</t>
  </si>
  <si>
    <t>屏東縣九如鄉</t>
  </si>
  <si>
    <t>Jiuru Township, Pingtung County</t>
  </si>
  <si>
    <t>905</t>
  </si>
  <si>
    <t>屏東縣里港鄉</t>
  </si>
  <si>
    <t>Ligang Township, Pingtung County</t>
  </si>
  <si>
    <t>906</t>
  </si>
  <si>
    <t>屏東縣高樹鄉</t>
  </si>
  <si>
    <t>Gaoshu Township, Pingtung County</t>
  </si>
  <si>
    <t>907</t>
  </si>
  <si>
    <t>屏東縣鹽埔鄉</t>
  </si>
  <si>
    <t>Yanpu Township, Pingtung County</t>
  </si>
  <si>
    <t>908</t>
  </si>
  <si>
    <t>屏東縣長治鄉</t>
  </si>
  <si>
    <t>Changzhi Township, Pingtung County</t>
  </si>
  <si>
    <t>909</t>
  </si>
  <si>
    <t>屏東縣麟洛鄉</t>
  </si>
  <si>
    <t>Linluo Township, Pingtung County</t>
  </si>
  <si>
    <t>911</t>
  </si>
  <si>
    <t>屏東縣竹田鄉</t>
  </si>
  <si>
    <t>Zhutian Township, Pingtung County</t>
  </si>
  <si>
    <t>912</t>
  </si>
  <si>
    <t>屏東縣內埔鄉</t>
  </si>
  <si>
    <t>Neipu Township, Pingtung County</t>
  </si>
  <si>
    <t>913</t>
  </si>
  <si>
    <t>屏東縣萬丹鄉</t>
  </si>
  <si>
    <t>Wandan Township, Pingtung County</t>
  </si>
  <si>
    <t>920</t>
  </si>
  <si>
    <t>屏東縣潮州鎮</t>
  </si>
  <si>
    <t>Chaozhou Township, Pingtung County</t>
  </si>
  <si>
    <t>921</t>
  </si>
  <si>
    <t>屏東縣泰武鄉</t>
  </si>
  <si>
    <t>Taiwu Township, Pingtung County</t>
  </si>
  <si>
    <t>922</t>
  </si>
  <si>
    <t>屏東縣來義鄉</t>
  </si>
  <si>
    <t>Laiyi Township, Pingtung County</t>
  </si>
  <si>
    <t>923</t>
  </si>
  <si>
    <t>屏東縣萬巒鄉</t>
  </si>
  <si>
    <t>Wanluan Township, Pingtung County</t>
  </si>
  <si>
    <t>924</t>
  </si>
  <si>
    <t>屏東縣崁頂鄉</t>
  </si>
  <si>
    <t>Kanding Township, Pingtung County</t>
  </si>
  <si>
    <t>925</t>
  </si>
  <si>
    <t>屏東縣新埤鄉</t>
  </si>
  <si>
    <t>Xinpi Township, Pingtung County</t>
  </si>
  <si>
    <t>926</t>
  </si>
  <si>
    <t>屏東縣南州鄉</t>
  </si>
  <si>
    <t>Nanzhou Township, Pingtung County</t>
  </si>
  <si>
    <t>927</t>
  </si>
  <si>
    <t>屏東縣林邊鄉</t>
  </si>
  <si>
    <t>Linbian Township, Pingtung County</t>
  </si>
  <si>
    <t>928</t>
  </si>
  <si>
    <t>屏東縣東港鎮</t>
  </si>
  <si>
    <t>Donggang Township, Pingtung County</t>
  </si>
  <si>
    <t>929</t>
  </si>
  <si>
    <t>屏東縣琉球鄉</t>
  </si>
  <si>
    <t>Liuqiu Township, Pingtung County</t>
  </si>
  <si>
    <t>931</t>
  </si>
  <si>
    <t>屏東縣佳冬鄉</t>
  </si>
  <si>
    <t>Jiadong Township, Pingtung County</t>
  </si>
  <si>
    <t>932</t>
  </si>
  <si>
    <t>屏東縣新園鄉</t>
  </si>
  <si>
    <t>Xinyuan Township, Pingtung County</t>
  </si>
  <si>
    <t>940</t>
  </si>
  <si>
    <t>屏東縣枋寮鄉</t>
  </si>
  <si>
    <t>Fangliao Township, Pingtung County</t>
  </si>
  <si>
    <t>941</t>
  </si>
  <si>
    <t>屏東縣枋山鄉</t>
  </si>
  <si>
    <t>Fangshan Township, Pingtung County</t>
  </si>
  <si>
    <t>942</t>
  </si>
  <si>
    <t>屏東縣春日鄉</t>
  </si>
  <si>
    <t>Chunri Township, Pingtung County</t>
  </si>
  <si>
    <t>943</t>
  </si>
  <si>
    <t>屏東縣獅子鄉</t>
  </si>
  <si>
    <t>Shizi Township, Pingtung County</t>
  </si>
  <si>
    <t>944</t>
  </si>
  <si>
    <t>屏東縣車城鄉</t>
  </si>
  <si>
    <t>Checheng Township, Pingtung County</t>
  </si>
  <si>
    <t>945</t>
  </si>
  <si>
    <t>屏東縣牡丹鄉</t>
  </si>
  <si>
    <t>Mudan Township, Pingtung County</t>
  </si>
  <si>
    <t>946</t>
  </si>
  <si>
    <t>屏東縣恆春鎮</t>
  </si>
  <si>
    <t>Hengchun Township, Pingtung County</t>
  </si>
  <si>
    <t>947</t>
  </si>
  <si>
    <t>屏東縣滿州鄉</t>
  </si>
  <si>
    <t>Manzhou Township, Pingtung County</t>
  </si>
  <si>
    <t>950</t>
  </si>
  <si>
    <t>Taitung City, Taitung County</t>
  </si>
  <si>
    <t>951</t>
  </si>
  <si>
    <t>Ludao Township, Taitung County</t>
  </si>
  <si>
    <t>952</t>
  </si>
  <si>
    <t>Lanyu Township, Taitung County</t>
  </si>
  <si>
    <t>953</t>
  </si>
  <si>
    <t>Yanping Township, Taitung County</t>
  </si>
  <si>
    <t>954</t>
  </si>
  <si>
    <t>Beinan Township, Taitung County</t>
  </si>
  <si>
    <t>955</t>
  </si>
  <si>
    <t>Luye Township, Taitung County</t>
  </si>
  <si>
    <t>956</t>
  </si>
  <si>
    <t>Guanshan Township, Taitung County</t>
  </si>
  <si>
    <t>957</t>
  </si>
  <si>
    <t>Haiduan Township, Taitung County</t>
  </si>
  <si>
    <t>958</t>
  </si>
  <si>
    <t>Chishang Township, Taitung County</t>
  </si>
  <si>
    <t>959</t>
  </si>
  <si>
    <t>Donghe Township, Taitung County</t>
  </si>
  <si>
    <t>961</t>
  </si>
  <si>
    <t>Chenggong Township, Taitung County</t>
  </si>
  <si>
    <t>962</t>
  </si>
  <si>
    <t>Changbin Township, Taitung County</t>
  </si>
  <si>
    <t>963</t>
  </si>
  <si>
    <t>Taimali Township, Taitung County</t>
  </si>
  <si>
    <t>964</t>
  </si>
  <si>
    <t>Jinfeng Township, Taitung County</t>
  </si>
  <si>
    <t>965</t>
  </si>
  <si>
    <t>Dawu Township, Taitung County</t>
  </si>
  <si>
    <t>966</t>
  </si>
  <si>
    <t>Daren Township, Taitung County</t>
  </si>
  <si>
    <t>970</t>
  </si>
  <si>
    <t>花蓮縣花蓮市</t>
  </si>
  <si>
    <t>Hualien City, Hualien County</t>
  </si>
  <si>
    <t>971</t>
  </si>
  <si>
    <t>花蓮縣新城鄉</t>
  </si>
  <si>
    <t>Xincheng Township, Hualien County</t>
  </si>
  <si>
    <t>972</t>
  </si>
  <si>
    <t>花蓮縣秀林鄉</t>
  </si>
  <si>
    <t>Xiulin Township, Hualien County</t>
  </si>
  <si>
    <t>973</t>
  </si>
  <si>
    <t>花蓮縣吉安鄉</t>
  </si>
  <si>
    <t>Ji’an Township, Hualien County</t>
  </si>
  <si>
    <t>974</t>
  </si>
  <si>
    <t>花蓮縣壽豐鄉</t>
  </si>
  <si>
    <t>Shoufeng Township, Hualien County</t>
  </si>
  <si>
    <t>975</t>
  </si>
  <si>
    <t>花蓮縣鳳林鎮</t>
  </si>
  <si>
    <t>Fenglin Township, Hualien County</t>
  </si>
  <si>
    <t>976</t>
  </si>
  <si>
    <t>花蓮縣光復鄉</t>
  </si>
  <si>
    <t>Guangfu Township, Hualien County</t>
  </si>
  <si>
    <t>977</t>
  </si>
  <si>
    <t>花蓮縣豐濱鄉</t>
  </si>
  <si>
    <t>Fengbin Township, Hualien County</t>
  </si>
  <si>
    <t>978</t>
  </si>
  <si>
    <t>花蓮縣瑞穗鄉</t>
  </si>
  <si>
    <t>Ruisui Township, Hualien County</t>
  </si>
  <si>
    <t>979</t>
  </si>
  <si>
    <t>花蓮縣萬榮鄉</t>
  </si>
  <si>
    <t>Wanrong Township, Hualien County</t>
  </si>
  <si>
    <t>981</t>
  </si>
  <si>
    <t>花蓮縣玉里鎮</t>
  </si>
  <si>
    <t>Yuli Township, Hualien County</t>
  </si>
  <si>
    <t>982</t>
  </si>
  <si>
    <t>花蓮縣卓溪鄉</t>
  </si>
  <si>
    <t>Zhuoxi Township, Hualien County</t>
  </si>
  <si>
    <t>983</t>
  </si>
  <si>
    <t>花蓮縣富里鄉</t>
  </si>
  <si>
    <t>Fuli Township, Hualien County</t>
  </si>
  <si>
    <t>宜蘭縣釣魚台</t>
    <phoneticPr fontId="1" type="noConversion"/>
  </si>
  <si>
    <t>郵局原始資料</t>
    <phoneticPr fontId="1" type="noConversion"/>
  </si>
  <si>
    <t>city</t>
    <phoneticPr fontId="1" type="noConversion"/>
  </si>
  <si>
    <t>town</t>
    <phoneticPr fontId="1" type="noConversion"/>
  </si>
  <si>
    <t>台北市中正區</t>
  </si>
  <si>
    <t>台北市大同區</t>
  </si>
  <si>
    <t>台北市中山區</t>
  </si>
  <si>
    <t>台北市松山區</t>
  </si>
  <si>
    <t>台北市大安區</t>
  </si>
  <si>
    <t>台北市萬華區</t>
  </si>
  <si>
    <t>台北市信義區</t>
  </si>
  <si>
    <t>台北市士林區</t>
  </si>
  <si>
    <t>台北市北投區</t>
  </si>
  <si>
    <t>台北市內湖區</t>
  </si>
  <si>
    <t>台北市南港區</t>
  </si>
  <si>
    <t>台北市文山區</t>
  </si>
  <si>
    <t>台中市中區</t>
  </si>
  <si>
    <t>台中市東區</t>
  </si>
  <si>
    <t>台中市南區</t>
  </si>
  <si>
    <t>台中市西區</t>
  </si>
  <si>
    <t>台中市北區</t>
  </si>
  <si>
    <t>台中市北屯區</t>
  </si>
  <si>
    <t>台中市西屯區</t>
  </si>
  <si>
    <t>台中市南屯區</t>
  </si>
  <si>
    <t>台中市太平區</t>
  </si>
  <si>
    <t>台中市大里區</t>
  </si>
  <si>
    <t>台中市霧峰區</t>
  </si>
  <si>
    <t>台中市烏日區</t>
  </si>
  <si>
    <t>台中市豐原區</t>
  </si>
  <si>
    <t>台中市后里區</t>
  </si>
  <si>
    <t>台中市石岡區</t>
  </si>
  <si>
    <t>台中市東勢區</t>
  </si>
  <si>
    <t>台中市和平區</t>
  </si>
  <si>
    <t>台中市新社區</t>
  </si>
  <si>
    <t>台中市潭子區</t>
  </si>
  <si>
    <t>台中市大雅區</t>
  </si>
  <si>
    <t>台中市神岡區</t>
  </si>
  <si>
    <t>台中市大肚區</t>
  </si>
  <si>
    <t>台中市沙鹿區</t>
  </si>
  <si>
    <t>台中市龍井區</t>
  </si>
  <si>
    <t>台中市梧棲區</t>
  </si>
  <si>
    <t>台中市清水區</t>
  </si>
  <si>
    <t>台中市大甲區</t>
  </si>
  <si>
    <t>台中市外埔區</t>
  </si>
  <si>
    <t>台中市大安區</t>
  </si>
  <si>
    <t>台南市中西區</t>
  </si>
  <si>
    <t>台南市東區</t>
  </si>
  <si>
    <t>台南市南區</t>
  </si>
  <si>
    <t>台南市北區</t>
  </si>
  <si>
    <t>台南市安平區</t>
  </si>
  <si>
    <t>台南市安南區</t>
  </si>
  <si>
    <t>台南市永康區</t>
  </si>
  <si>
    <t>台南市歸仁區</t>
  </si>
  <si>
    <t>台南市新化區</t>
  </si>
  <si>
    <t>台南市左鎮區</t>
  </si>
  <si>
    <t>台南市玉井區</t>
  </si>
  <si>
    <t>台南市楠西區</t>
  </si>
  <si>
    <t>台南市南化區</t>
  </si>
  <si>
    <t>台南市仁德區</t>
  </si>
  <si>
    <t>台南市關廟區</t>
  </si>
  <si>
    <t>台南市龍崎區</t>
  </si>
  <si>
    <t>台南市官田區</t>
  </si>
  <si>
    <t>台南市麻豆區</t>
  </si>
  <si>
    <t>台南市佳里區</t>
  </si>
  <si>
    <t>台南市西港區</t>
  </si>
  <si>
    <t>台南市七股區</t>
  </si>
  <si>
    <t>台南市將軍區</t>
  </si>
  <si>
    <t>台南市學甲區</t>
  </si>
  <si>
    <t>台南市北門區</t>
  </si>
  <si>
    <t>台南市新營區</t>
  </si>
  <si>
    <t>台南市後壁區</t>
  </si>
  <si>
    <t>台南市白河區</t>
  </si>
  <si>
    <t>台南市東山區</t>
  </si>
  <si>
    <t>台南市六甲區</t>
  </si>
  <si>
    <t>台南市下營區</t>
  </si>
  <si>
    <t>台南市柳營區</t>
  </si>
  <si>
    <t>台南市鹽水區</t>
  </si>
  <si>
    <t>台南市善化區</t>
  </si>
  <si>
    <t>台南市大內區</t>
  </si>
  <si>
    <t>台南市山上區</t>
  </si>
  <si>
    <t>台南市新市區</t>
  </si>
  <si>
    <t>台南市安定區</t>
  </si>
  <si>
    <t>台東縣台東市</t>
  </si>
  <si>
    <t>台東縣綠島鄉</t>
  </si>
  <si>
    <t>台東縣蘭嶼鄉</t>
  </si>
  <si>
    <t>台東縣延平鄉</t>
  </si>
  <si>
    <t>台東縣卑南鄉</t>
  </si>
  <si>
    <t>台東縣鹿野鄉</t>
  </si>
  <si>
    <t>台東縣關山鎮</t>
  </si>
  <si>
    <t>台東縣海端鄉</t>
  </si>
  <si>
    <t>台東縣池上鄉</t>
  </si>
  <si>
    <t>台東縣東河鄉</t>
  </si>
  <si>
    <t>台東縣成功鎮</t>
  </si>
  <si>
    <t>台東縣長濱鄉</t>
  </si>
  <si>
    <t>台東縣太麻里鄉</t>
  </si>
  <si>
    <t>台東縣金峰鄉</t>
  </si>
  <si>
    <t>台東縣大武鄉</t>
  </si>
  <si>
    <t>台東縣達仁鄉</t>
  </si>
  <si>
    <t>雲林縣台西鄉</t>
  </si>
  <si>
    <t>屏東縣霧台鄉</t>
  </si>
  <si>
    <t>town_id</t>
  </si>
  <si>
    <t>1</t>
    <phoneticPr fontId="1" type="noConversion"/>
  </si>
  <si>
    <t>2</t>
    <phoneticPr fontId="1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</si>
  <si>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</si>
  <si>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</si>
  <si>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</si>
  <si>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</si>
  <si>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</si>
  <si>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</si>
  <si>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</si>
  <si>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</si>
  <si>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</si>
  <si>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</si>
  <si>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</si>
  <si>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</si>
  <si>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</si>
  <si>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</si>
  <si>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</si>
  <si>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</si>
  <si>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</si>
  <si>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</si>
  <si>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</si>
  <si>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</si>
  <si>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</si>
  <si>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</si>
  <si>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</si>
  <si>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</si>
  <si>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</si>
  <si>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</si>
  <si>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</si>
  <si>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</si>
  <si>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</si>
  <si>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</si>
  <si>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</si>
  <si>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</si>
  <si>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</si>
  <si>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</si>
  <si>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</si>
  <si>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</si>
  <si>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</si>
  <si>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</si>
  <si>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</si>
  <si>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</si>
  <si>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</si>
  <si>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</si>
  <si>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</si>
  <si>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</si>
  <si>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</si>
  <si>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</si>
  <si>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</si>
  <si>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</si>
  <si>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</si>
  <si>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</si>
  <si>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</si>
  <si>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</si>
  <si>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</si>
  <si>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</si>
  <si>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</si>
  <si>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</si>
  <si>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</si>
  <si>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</si>
  <si>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</si>
  <si>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</si>
  <si>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</si>
  <si>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</si>
  <si>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</si>
  <si>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</si>
  <si>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</si>
  <si>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</si>
  <si>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</si>
  <si>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</si>
  <si>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</si>
  <si>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</si>
  <si>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</si>
  <si>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</si>
  <si>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</si>
  <si>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</si>
  <si>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</si>
  <si>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</si>
  <si>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</si>
  <si>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</si>
  <si>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</si>
  <si>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</si>
  <si>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</si>
  <si>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</si>
  <si>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</si>
  <si>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</si>
  <si>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</si>
  <si>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</si>
  <si>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</si>
  <si>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</si>
  <si>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</si>
  <si>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</si>
  <si>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</si>
  <si>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</si>
  <si>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</si>
  <si>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</si>
  <si>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</si>
  <si>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</si>
  <si>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</si>
  <si>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</si>
  <si>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</si>
  <si>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107</t>
  </si>
  <si>
    <t>109</t>
  </si>
  <si>
    <t>113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</si>
  <si>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</si>
  <si>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</si>
  <si>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</si>
  <si>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</si>
  <si>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</si>
  <si>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</si>
  <si>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</si>
  <si>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</si>
  <si>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</si>
  <si>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</si>
  <si>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</si>
  <si>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</si>
  <si>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</si>
  <si>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</si>
  <si>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</si>
  <si>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</si>
  <si>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</si>
  <si>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</si>
  <si>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</si>
  <si>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</si>
  <si>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</si>
  <si>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</si>
  <si>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</si>
  <si>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</si>
  <si>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</si>
  <si>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</si>
  <si>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</si>
  <si>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</si>
  <si>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</si>
  <si>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</si>
  <si>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</si>
  <si>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</si>
  <si>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</si>
  <si>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</si>
  <si>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</si>
  <si>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</si>
  <si>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</si>
  <si>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</si>
  <si>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</si>
  <si>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</si>
  <si>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</si>
  <si>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</si>
  <si>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</si>
  <si>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</si>
  <si>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</si>
  <si>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</si>
  <si>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</si>
  <si>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</si>
  <si>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</si>
  <si>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</si>
  <si>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</si>
  <si>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</si>
  <si>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</si>
  <si>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</si>
  <si>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</si>
  <si>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</si>
  <si>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</si>
  <si>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</si>
  <si>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</si>
  <si>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</si>
  <si>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</si>
  <si>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</si>
  <si>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</si>
  <si>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</si>
  <si>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</si>
  <si>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</si>
  <si>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</si>
  <si>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</si>
  <si>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</si>
  <si>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</si>
  <si>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</si>
  <si>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</si>
  <si>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</si>
  <si>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</si>
  <si>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</si>
  <si>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</si>
  <si>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</si>
  <si>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</si>
  <si>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</si>
  <si>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</si>
  <si>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</si>
  <si>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</si>
  <si>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</si>
  <si>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213</t>
  </si>
  <si>
    <t>214</t>
  </si>
  <si>
    <t>215</t>
  </si>
  <si>
    <t>216</t>
  </si>
  <si>
    <t>217</t>
  </si>
  <si>
    <t>218</t>
  </si>
  <si>
    <t>219</t>
  </si>
  <si>
    <t>225</t>
  </si>
  <si>
    <t>229</t>
  </si>
  <si>
    <t>230</t>
  </si>
  <si>
    <t>240</t>
  </si>
  <si>
    <t>245</t>
  </si>
  <si>
    <t>246</t>
  </si>
  <si>
    <t>250</t>
  </si>
  <si>
    <t>254</t>
  </si>
  <si>
    <t>255</t>
  </si>
  <si>
    <t>256</t>
  </si>
  <si>
    <t>257</t>
  </si>
  <si>
    <t>258</t>
  </si>
  <si>
    <t>259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</si>
  <si>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</si>
  <si>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</si>
  <si>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</si>
  <si>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</si>
  <si>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</si>
  <si>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</si>
  <si>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</si>
  <si>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</si>
  <si>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</si>
  <si>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</si>
  <si>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</si>
  <si>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</si>
  <si>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</si>
  <si>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</si>
  <si>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</si>
  <si>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</si>
  <si>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</si>
  <si>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</si>
  <si>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</si>
  <si>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</si>
  <si>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</si>
  <si>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</si>
  <si>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</si>
  <si>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</si>
  <si>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</si>
  <si>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</si>
  <si>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</si>
  <si>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</si>
  <si>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309</t>
  </si>
  <si>
    <t>316</t>
  </si>
  <si>
    <t>317</t>
  </si>
  <si>
    <t>318</t>
  </si>
  <si>
    <t>319</t>
  </si>
  <si>
    <t>321</t>
  </si>
  <si>
    <t>322</t>
  </si>
  <si>
    <t>323</t>
  </si>
  <si>
    <t>329</t>
  </si>
  <si>
    <t>331</t>
  </si>
  <si>
    <t>332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</si>
  <si>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</si>
  <si>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</si>
  <si>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</si>
  <si>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</si>
  <si>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</si>
  <si>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</si>
  <si>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</si>
  <si>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</si>
  <si>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</si>
  <si>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</si>
  <si>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</si>
  <si>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355</t>
  </si>
  <si>
    <t>359</t>
  </si>
  <si>
    <t>370</t>
  </si>
  <si>
    <t>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</si>
</sst>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2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2" applyNumberFormat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16" fillId="31" borderId="9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1BA3-DED8-4324-8C21-12011C87997F}">
  <dimension ref="A1:G372"/>
  <sheetViews>
    <sheetView tabSelected="1" workbookViewId="0">
      <selection activeCell="N6" sqref="N6"/>
    </sheetView>
  </sheetViews>
  <sheetFormatPr defaultRowHeight="16.2" x14ac:dyDescent="0.3"/>
  <cols>
    <col min="1" max="1" width="4.44140625" bestFit="1" customWidth="1"/>
    <col min="2" max="2" width="16.109375" bestFit="1" customWidth="1"/>
    <col min="3" max="3" width="35.88671875" bestFit="1" customWidth="1"/>
    <col min="6" max="6" width="10.44140625" bestFit="1" customWidth="1"/>
    <col min="7" max="7" width="10.44140625" style="4" bestFit="1" customWidth="1"/>
  </cols>
  <sheetData>
    <row r="1" spans="1:7" x14ac:dyDescent="0.3">
      <c r="B1" t="s">
        <v>1014</v>
      </c>
      <c r="E1" t="s">
        <v>1015</v>
      </c>
      <c r="F1" t="s">
        <v>1016</v>
      </c>
      <c r="G1" s="2" t="s">
        <v>1113</v>
      </c>
    </row>
    <row r="2" spans="1:7" x14ac:dyDescent="0.3">
      <c r="A2" s="1" t="s">
        <v>0</v>
      </c>
      <c r="B2" t="s">
        <v>1017</v>
      </c>
      <c r="C2" t="s">
        <v>1</v>
      </c>
      <c r="E2" t="str">
        <f>LEFT(B2,3)</f>
        <v>台北市</v>
      </c>
      <c r="F2" t="str">
        <f>RIGHT(B2,3)</f>
        <v>中正區</v>
      </c>
      <c r="G2" s="3" t="s">
        <v>1114</v>
      </c>
    </row>
    <row r="3" spans="1:7" x14ac:dyDescent="0.3">
      <c r="A3" s="1" t="s">
        <v>2</v>
      </c>
      <c r="B3" t="s">
        <v>1018</v>
      </c>
      <c r="C3" t="s">
        <v>3</v>
      </c>
      <c r="E3" t="str">
        <f t="shared" ref="E3:E66" si="0">LEFT(B3,3)</f>
        <v>台北市</v>
      </c>
      <c r="F3" t="str">
        <f t="shared" ref="F3:F66" si="1">RIGHT(B3,3)</f>
        <v>大同區</v>
      </c>
      <c r="G3" s="3" t="s">
        <v>1115</v>
      </c>
    </row>
    <row r="4" spans="1:7" x14ac:dyDescent="0.3">
      <c r="A4" s="1" t="s">
        <v>4</v>
      </c>
      <c r="B4" t="s">
        <v>1019</v>
      </c>
      <c r="C4" t="s">
        <v>5</v>
      </c>
      <c r="E4" t="str">
        <f t="shared" si="0"/>
        <v>台北市</v>
      </c>
      <c r="F4" t="str">
        <f t="shared" si="1"/>
        <v>中山區</v>
      </c>
      <c r="G4" s="3" t="s">
        <v>1116</v>
      </c>
    </row>
    <row r="5" spans="1:7" x14ac:dyDescent="0.3">
      <c r="A5" s="1" t="s">
        <v>6</v>
      </c>
      <c r="B5" t="s">
        <v>1020</v>
      </c>
      <c r="C5" t="s">
        <v>7</v>
      </c>
      <c r="E5" t="str">
        <f t="shared" si="0"/>
        <v>台北市</v>
      </c>
      <c r="F5" t="str">
        <f t="shared" si="1"/>
        <v>松山區</v>
      </c>
      <c r="G5" s="3" t="s">
        <v>1117</v>
      </c>
    </row>
    <row r="6" spans="1:7" x14ac:dyDescent="0.3">
      <c r="A6" s="1" t="s">
        <v>8</v>
      </c>
      <c r="B6" t="s">
        <v>1021</v>
      </c>
      <c r="C6" t="s">
        <v>9</v>
      </c>
      <c r="E6" t="str">
        <f t="shared" si="0"/>
        <v>台北市</v>
      </c>
      <c r="F6" t="str">
        <f t="shared" si="1"/>
        <v>大安區</v>
      </c>
      <c r="G6" s="3" t="s">
        <v>1118</v>
      </c>
    </row>
    <row r="7" spans="1:7" x14ac:dyDescent="0.3">
      <c r="A7" s="1" t="s">
        <v>10</v>
      </c>
      <c r="B7" t="s">
        <v>1022</v>
      </c>
      <c r="C7" t="s">
        <v>11</v>
      </c>
      <c r="E7" t="str">
        <f t="shared" si="0"/>
        <v>台北市</v>
      </c>
      <c r="F7" t="str">
        <f t="shared" si="1"/>
        <v>萬華區</v>
      </c>
      <c r="G7" s="3" t="s">
        <v>1119</v>
      </c>
    </row>
    <row r="8" spans="1:7" x14ac:dyDescent="0.3">
      <c r="A8" s="1" t="s">
        <v>12</v>
      </c>
      <c r="B8" t="s">
        <v>1023</v>
      </c>
      <c r="C8" t="s">
        <v>13</v>
      </c>
      <c r="E8" t="str">
        <f t="shared" si="0"/>
        <v>台北市</v>
      </c>
      <c r="F8" t="str">
        <f t="shared" si="1"/>
        <v>信義區</v>
      </c>
      <c r="G8" s="3" t="s">
        <v>1120</v>
      </c>
    </row>
    <row r="9" spans="1:7" x14ac:dyDescent="0.3">
      <c r="A9" s="1" t="s">
        <v>14</v>
      </c>
      <c r="B9" t="s">
        <v>1024</v>
      </c>
      <c r="C9" t="s">
        <v>15</v>
      </c>
      <c r="E9" t="str">
        <f t="shared" si="0"/>
        <v>台北市</v>
      </c>
      <c r="F9" t="str">
        <f t="shared" si="1"/>
        <v>士林區</v>
      </c>
      <c r="G9" s="3" t="s">
        <v>1121</v>
      </c>
    </row>
    <row r="10" spans="1:7" x14ac:dyDescent="0.3">
      <c r="A10" s="1" t="s">
        <v>16</v>
      </c>
      <c r="B10" t="s">
        <v>1025</v>
      </c>
      <c r="C10" t="s">
        <v>17</v>
      </c>
      <c r="E10" t="str">
        <f t="shared" si="0"/>
        <v>台北市</v>
      </c>
      <c r="F10" t="str">
        <f t="shared" si="1"/>
        <v>北投區</v>
      </c>
      <c r="G10" s="3" t="s">
        <v>1122</v>
      </c>
    </row>
    <row r="11" spans="1:7" x14ac:dyDescent="0.3">
      <c r="A11" s="1" t="s">
        <v>18</v>
      </c>
      <c r="B11" t="s">
        <v>1026</v>
      </c>
      <c r="C11" t="s">
        <v>19</v>
      </c>
      <c r="E11" t="str">
        <f t="shared" si="0"/>
        <v>台北市</v>
      </c>
      <c r="F11" t="str">
        <f t="shared" si="1"/>
        <v>內湖區</v>
      </c>
      <c r="G11" s="3" t="s">
        <v>1123</v>
      </c>
    </row>
    <row r="12" spans="1:7" x14ac:dyDescent="0.3">
      <c r="A12" s="1" t="s">
        <v>20</v>
      </c>
      <c r="B12" t="s">
        <v>1027</v>
      </c>
      <c r="C12" t="s">
        <v>21</v>
      </c>
      <c r="E12" t="str">
        <f t="shared" si="0"/>
        <v>台北市</v>
      </c>
      <c r="F12" t="str">
        <f t="shared" si="1"/>
        <v>南港區</v>
      </c>
      <c r="G12" s="3" t="s">
        <v>1124</v>
      </c>
    </row>
    <row r="13" spans="1:7" x14ac:dyDescent="0.3">
      <c r="A13" s="1" t="s">
        <v>22</v>
      </c>
      <c r="B13" t="s">
        <v>1028</v>
      </c>
      <c r="C13" t="s">
        <v>23</v>
      </c>
      <c r="E13" t="str">
        <f t="shared" si="0"/>
        <v>台北市</v>
      </c>
      <c r="F13" t="str">
        <f t="shared" si="1"/>
        <v>文山區</v>
      </c>
      <c r="G13" s="3" t="s">
        <v>1125</v>
      </c>
    </row>
    <row r="14" spans="1:7" x14ac:dyDescent="0.3">
      <c r="A14" s="1" t="s">
        <v>24</v>
      </c>
      <c r="B14" t="s">
        <v>25</v>
      </c>
      <c r="C14" t="s">
        <v>26</v>
      </c>
      <c r="E14" t="str">
        <f t="shared" si="0"/>
        <v>基隆市</v>
      </c>
      <c r="F14" t="str">
        <f t="shared" si="1"/>
        <v>仁愛區</v>
      </c>
      <c r="G14" s="3" t="s">
        <v>1126</v>
      </c>
    </row>
    <row r="15" spans="1:7" x14ac:dyDescent="0.3">
      <c r="A15" s="1" t="s">
        <v>27</v>
      </c>
      <c r="B15" t="s">
        <v>28</v>
      </c>
      <c r="C15" t="s">
        <v>29</v>
      </c>
      <c r="E15" t="str">
        <f t="shared" si="0"/>
        <v>基隆市</v>
      </c>
      <c r="F15" t="str">
        <f t="shared" si="1"/>
        <v>信義區</v>
      </c>
      <c r="G15" s="3" t="s">
        <v>1127</v>
      </c>
    </row>
    <row r="16" spans="1:7" x14ac:dyDescent="0.3">
      <c r="A16" s="1" t="s">
        <v>30</v>
      </c>
      <c r="B16" t="s">
        <v>31</v>
      </c>
      <c r="C16" t="s">
        <v>32</v>
      </c>
      <c r="E16" t="str">
        <f t="shared" si="0"/>
        <v>基隆市</v>
      </c>
      <c r="F16" t="str">
        <f t="shared" si="1"/>
        <v>中正區</v>
      </c>
      <c r="G16" s="3" t="s">
        <v>1128</v>
      </c>
    </row>
    <row r="17" spans="1:7" x14ac:dyDescent="0.3">
      <c r="A17" s="1" t="s">
        <v>33</v>
      </c>
      <c r="B17" t="s">
        <v>34</v>
      </c>
      <c r="C17" t="s">
        <v>35</v>
      </c>
      <c r="E17" t="str">
        <f t="shared" si="0"/>
        <v>基隆市</v>
      </c>
      <c r="F17" t="str">
        <f t="shared" si="1"/>
        <v>中山區</v>
      </c>
      <c r="G17" s="3" t="s">
        <v>1129</v>
      </c>
    </row>
    <row r="18" spans="1:7" x14ac:dyDescent="0.3">
      <c r="A18" s="1" t="s">
        <v>36</v>
      </c>
      <c r="B18" t="s">
        <v>37</v>
      </c>
      <c r="C18" t="s">
        <v>38</v>
      </c>
      <c r="E18" t="str">
        <f t="shared" si="0"/>
        <v>基隆市</v>
      </c>
      <c r="F18" t="str">
        <f t="shared" si="1"/>
        <v>安樂區</v>
      </c>
      <c r="G18" s="3" t="s">
        <v>1130</v>
      </c>
    </row>
    <row r="19" spans="1:7" x14ac:dyDescent="0.3">
      <c r="A19" s="1" t="s">
        <v>39</v>
      </c>
      <c r="B19" t="s">
        <v>40</v>
      </c>
      <c r="C19" t="s">
        <v>41</v>
      </c>
      <c r="E19" t="str">
        <f t="shared" si="0"/>
        <v>基隆市</v>
      </c>
      <c r="F19" t="str">
        <f t="shared" si="1"/>
        <v>暖暖區</v>
      </c>
      <c r="G19" s="3" t="s">
        <v>1131</v>
      </c>
    </row>
    <row r="20" spans="1:7" x14ac:dyDescent="0.3">
      <c r="A20" s="1" t="s">
        <v>42</v>
      </c>
      <c r="B20" t="s">
        <v>43</v>
      </c>
      <c r="C20" t="s">
        <v>44</v>
      </c>
      <c r="E20" t="str">
        <f t="shared" si="0"/>
        <v>基隆市</v>
      </c>
      <c r="F20" t="str">
        <f t="shared" si="1"/>
        <v>七堵區</v>
      </c>
      <c r="G20" s="3" t="s">
        <v>1132</v>
      </c>
    </row>
    <row r="21" spans="1:7" x14ac:dyDescent="0.3">
      <c r="A21" s="1" t="s">
        <v>45</v>
      </c>
      <c r="B21" t="s">
        <v>46</v>
      </c>
      <c r="C21" t="s">
        <v>47</v>
      </c>
      <c r="E21" t="str">
        <f t="shared" si="0"/>
        <v>新北市</v>
      </c>
      <c r="F21" t="str">
        <f t="shared" si="1"/>
        <v>萬里區</v>
      </c>
      <c r="G21" s="3" t="s">
        <v>1133</v>
      </c>
    </row>
    <row r="22" spans="1:7" x14ac:dyDescent="0.3">
      <c r="A22" s="1" t="s">
        <v>48</v>
      </c>
      <c r="B22" t="s">
        <v>49</v>
      </c>
      <c r="C22" t="s">
        <v>50</v>
      </c>
      <c r="E22" t="str">
        <f t="shared" si="0"/>
        <v>新北市</v>
      </c>
      <c r="F22" t="str">
        <f t="shared" si="1"/>
        <v>金山區</v>
      </c>
      <c r="G22" s="3" t="s">
        <v>1134</v>
      </c>
    </row>
    <row r="23" spans="1:7" x14ac:dyDescent="0.3">
      <c r="A23" s="1" t="s">
        <v>51</v>
      </c>
      <c r="B23" t="s">
        <v>52</v>
      </c>
      <c r="C23" t="s">
        <v>53</v>
      </c>
      <c r="E23" t="str">
        <f t="shared" si="0"/>
        <v>連江縣</v>
      </c>
      <c r="F23" t="str">
        <f t="shared" si="1"/>
        <v>南竿鄉</v>
      </c>
      <c r="G23" s="3" t="s">
        <v>1135</v>
      </c>
    </row>
    <row r="24" spans="1:7" x14ac:dyDescent="0.3">
      <c r="A24" s="1" t="s">
        <v>54</v>
      </c>
      <c r="B24" t="s">
        <v>55</v>
      </c>
      <c r="C24" t="s">
        <v>56</v>
      </c>
      <c r="E24" t="str">
        <f t="shared" si="0"/>
        <v>連江縣</v>
      </c>
      <c r="F24" t="str">
        <f t="shared" si="1"/>
        <v>北竿鄉</v>
      </c>
      <c r="G24" s="3" t="s">
        <v>1136</v>
      </c>
    </row>
    <row r="25" spans="1:7" x14ac:dyDescent="0.3">
      <c r="A25" s="1" t="s">
        <v>57</v>
      </c>
      <c r="B25" t="s">
        <v>58</v>
      </c>
      <c r="C25" t="s">
        <v>59</v>
      </c>
      <c r="E25" t="str">
        <f t="shared" si="0"/>
        <v>連江縣</v>
      </c>
      <c r="F25" t="str">
        <f t="shared" si="1"/>
        <v>莒光鄉</v>
      </c>
      <c r="G25" s="3" t="s">
        <v>1137</v>
      </c>
    </row>
    <row r="26" spans="1:7" x14ac:dyDescent="0.3">
      <c r="A26" s="1" t="s">
        <v>60</v>
      </c>
      <c r="B26" t="s">
        <v>61</v>
      </c>
      <c r="C26" t="s">
        <v>62</v>
      </c>
      <c r="E26" t="str">
        <f t="shared" si="0"/>
        <v>連江縣</v>
      </c>
      <c r="F26" t="str">
        <f t="shared" si="1"/>
        <v>東引鄉</v>
      </c>
      <c r="G26" s="3" t="s">
        <v>1138</v>
      </c>
    </row>
    <row r="27" spans="1:7" x14ac:dyDescent="0.3">
      <c r="A27" s="1" t="s">
        <v>63</v>
      </c>
      <c r="B27" t="s">
        <v>64</v>
      </c>
      <c r="C27" t="s">
        <v>65</v>
      </c>
      <c r="E27" t="str">
        <f t="shared" si="0"/>
        <v>新北市</v>
      </c>
      <c r="F27" t="str">
        <f t="shared" si="1"/>
        <v>板橋區</v>
      </c>
      <c r="G27" s="3" t="s">
        <v>1139</v>
      </c>
    </row>
    <row r="28" spans="1:7" x14ac:dyDescent="0.3">
      <c r="A28" s="1" t="s">
        <v>66</v>
      </c>
      <c r="B28" t="s">
        <v>67</v>
      </c>
      <c r="C28" t="s">
        <v>68</v>
      </c>
      <c r="E28" t="str">
        <f t="shared" si="0"/>
        <v>新北市</v>
      </c>
      <c r="F28" t="str">
        <f t="shared" si="1"/>
        <v>汐止區</v>
      </c>
      <c r="G28" s="3" t="s">
        <v>1140</v>
      </c>
    </row>
    <row r="29" spans="1:7" x14ac:dyDescent="0.3">
      <c r="A29" s="1" t="s">
        <v>69</v>
      </c>
      <c r="B29" t="s">
        <v>70</v>
      </c>
      <c r="C29" t="s">
        <v>71</v>
      </c>
      <c r="E29" t="str">
        <f t="shared" si="0"/>
        <v>新北市</v>
      </c>
      <c r="F29" t="str">
        <f t="shared" si="1"/>
        <v>深坑區</v>
      </c>
      <c r="G29" s="3" t="s">
        <v>1141</v>
      </c>
    </row>
    <row r="30" spans="1:7" x14ac:dyDescent="0.3">
      <c r="A30" s="1" t="s">
        <v>72</v>
      </c>
      <c r="B30" t="s">
        <v>73</v>
      </c>
      <c r="C30" t="s">
        <v>74</v>
      </c>
      <c r="E30" t="str">
        <f t="shared" si="0"/>
        <v>新北市</v>
      </c>
      <c r="F30" t="str">
        <f t="shared" si="1"/>
        <v>石碇區</v>
      </c>
      <c r="G30" s="3" t="s">
        <v>1142</v>
      </c>
    </row>
    <row r="31" spans="1:7" x14ac:dyDescent="0.3">
      <c r="A31" s="1" t="s">
        <v>75</v>
      </c>
      <c r="B31" t="s">
        <v>76</v>
      </c>
      <c r="C31" t="s">
        <v>77</v>
      </c>
      <c r="E31" t="str">
        <f t="shared" si="0"/>
        <v>新北市</v>
      </c>
      <c r="F31" t="str">
        <f t="shared" si="1"/>
        <v>瑞芳區</v>
      </c>
      <c r="G31" s="3" t="s">
        <v>1143</v>
      </c>
    </row>
    <row r="32" spans="1:7" x14ac:dyDescent="0.3">
      <c r="A32" s="1" t="s">
        <v>78</v>
      </c>
      <c r="B32" t="s">
        <v>79</v>
      </c>
      <c r="C32" t="s">
        <v>80</v>
      </c>
      <c r="E32" t="str">
        <f t="shared" si="0"/>
        <v>新北市</v>
      </c>
      <c r="F32" t="str">
        <f t="shared" si="1"/>
        <v>平溪區</v>
      </c>
      <c r="G32" s="3" t="s">
        <v>1144</v>
      </c>
    </row>
    <row r="33" spans="1:7" x14ac:dyDescent="0.3">
      <c r="A33" s="1" t="s">
        <v>81</v>
      </c>
      <c r="B33" t="s">
        <v>82</v>
      </c>
      <c r="C33" t="s">
        <v>83</v>
      </c>
      <c r="E33" t="str">
        <f t="shared" si="0"/>
        <v>新北市</v>
      </c>
      <c r="F33" t="str">
        <f t="shared" si="1"/>
        <v>雙溪區</v>
      </c>
      <c r="G33" s="3" t="s">
        <v>1145</v>
      </c>
    </row>
    <row r="34" spans="1:7" x14ac:dyDescent="0.3">
      <c r="A34" s="1" t="s">
        <v>84</v>
      </c>
      <c r="B34" t="s">
        <v>85</v>
      </c>
      <c r="C34" t="s">
        <v>86</v>
      </c>
      <c r="E34" t="str">
        <f t="shared" si="0"/>
        <v>新北市</v>
      </c>
      <c r="F34" t="str">
        <f t="shared" si="1"/>
        <v>貢寮區</v>
      </c>
      <c r="G34" s="3" t="s">
        <v>1146</v>
      </c>
    </row>
    <row r="35" spans="1:7" x14ac:dyDescent="0.3">
      <c r="A35" s="1" t="s">
        <v>87</v>
      </c>
      <c r="B35" t="s">
        <v>88</v>
      </c>
      <c r="C35" t="s">
        <v>89</v>
      </c>
      <c r="E35" t="str">
        <f t="shared" si="0"/>
        <v>新北市</v>
      </c>
      <c r="F35" t="str">
        <f t="shared" si="1"/>
        <v>新店區</v>
      </c>
      <c r="G35" s="3" t="s">
        <v>1147</v>
      </c>
    </row>
    <row r="36" spans="1:7" x14ac:dyDescent="0.3">
      <c r="A36" s="1" t="s">
        <v>90</v>
      </c>
      <c r="B36" t="s">
        <v>91</v>
      </c>
      <c r="C36" t="s">
        <v>92</v>
      </c>
      <c r="E36" t="str">
        <f t="shared" si="0"/>
        <v>新北市</v>
      </c>
      <c r="F36" t="str">
        <f t="shared" si="1"/>
        <v>坪林區</v>
      </c>
      <c r="G36" s="3" t="s">
        <v>1148</v>
      </c>
    </row>
    <row r="37" spans="1:7" x14ac:dyDescent="0.3">
      <c r="A37" s="1" t="s">
        <v>93</v>
      </c>
      <c r="B37" t="s">
        <v>94</v>
      </c>
      <c r="C37" t="s">
        <v>95</v>
      </c>
      <c r="E37" t="str">
        <f t="shared" si="0"/>
        <v>新北市</v>
      </c>
      <c r="F37" t="str">
        <f t="shared" si="1"/>
        <v>烏來區</v>
      </c>
      <c r="G37" s="3" t="s">
        <v>1149</v>
      </c>
    </row>
    <row r="38" spans="1:7" x14ac:dyDescent="0.3">
      <c r="A38" s="1" t="s">
        <v>96</v>
      </c>
      <c r="B38" t="s">
        <v>97</v>
      </c>
      <c r="C38" t="s">
        <v>98</v>
      </c>
      <c r="E38" t="str">
        <f t="shared" si="0"/>
        <v>新北市</v>
      </c>
      <c r="F38" t="str">
        <f t="shared" si="1"/>
        <v>永和區</v>
      </c>
      <c r="G38" s="3" t="s">
        <v>1150</v>
      </c>
    </row>
    <row r="39" spans="1:7" x14ac:dyDescent="0.3">
      <c r="A39" s="1" t="s">
        <v>99</v>
      </c>
      <c r="B39" t="s">
        <v>100</v>
      </c>
      <c r="C39" t="s">
        <v>101</v>
      </c>
      <c r="E39" t="str">
        <f t="shared" si="0"/>
        <v>新北市</v>
      </c>
      <c r="F39" t="str">
        <f t="shared" si="1"/>
        <v>中和區</v>
      </c>
      <c r="G39" s="3" t="s">
        <v>1151</v>
      </c>
    </row>
    <row r="40" spans="1:7" x14ac:dyDescent="0.3">
      <c r="A40" s="1" t="s">
        <v>102</v>
      </c>
      <c r="B40" t="s">
        <v>103</v>
      </c>
      <c r="C40" t="s">
        <v>104</v>
      </c>
      <c r="E40" t="str">
        <f t="shared" si="0"/>
        <v>新北市</v>
      </c>
      <c r="F40" t="str">
        <f t="shared" si="1"/>
        <v>土城區</v>
      </c>
      <c r="G40" s="3" t="s">
        <v>1152</v>
      </c>
    </row>
    <row r="41" spans="1:7" x14ac:dyDescent="0.3">
      <c r="A41" s="1" t="s">
        <v>105</v>
      </c>
      <c r="B41" t="s">
        <v>106</v>
      </c>
      <c r="C41" t="s">
        <v>107</v>
      </c>
      <c r="E41" t="str">
        <f t="shared" si="0"/>
        <v>新北市</v>
      </c>
      <c r="F41" t="str">
        <f t="shared" si="1"/>
        <v>三峽區</v>
      </c>
      <c r="G41" s="3" t="s">
        <v>1153</v>
      </c>
    </row>
    <row r="42" spans="1:7" x14ac:dyDescent="0.3">
      <c r="A42" s="1" t="s">
        <v>108</v>
      </c>
      <c r="B42" t="s">
        <v>109</v>
      </c>
      <c r="C42" t="s">
        <v>110</v>
      </c>
      <c r="E42" t="str">
        <f t="shared" si="0"/>
        <v>新北市</v>
      </c>
      <c r="F42" t="str">
        <f t="shared" si="1"/>
        <v>樹林區</v>
      </c>
      <c r="G42" s="3" t="s">
        <v>1154</v>
      </c>
    </row>
    <row r="43" spans="1:7" x14ac:dyDescent="0.3">
      <c r="A43" s="1" t="s">
        <v>111</v>
      </c>
      <c r="B43" t="s">
        <v>112</v>
      </c>
      <c r="C43" t="s">
        <v>113</v>
      </c>
      <c r="E43" t="str">
        <f t="shared" si="0"/>
        <v>新北市</v>
      </c>
      <c r="F43" t="str">
        <f t="shared" si="1"/>
        <v>鶯歌區</v>
      </c>
      <c r="G43" s="3" t="s">
        <v>1155</v>
      </c>
    </row>
    <row r="44" spans="1:7" x14ac:dyDescent="0.3">
      <c r="A44" s="1" t="s">
        <v>114</v>
      </c>
      <c r="B44" t="s">
        <v>115</v>
      </c>
      <c r="C44" t="s">
        <v>116</v>
      </c>
      <c r="E44" t="str">
        <f t="shared" si="0"/>
        <v>新北市</v>
      </c>
      <c r="F44" t="str">
        <f t="shared" si="1"/>
        <v>三重區</v>
      </c>
      <c r="G44" s="3" t="s">
        <v>1156</v>
      </c>
    </row>
    <row r="45" spans="1:7" x14ac:dyDescent="0.3">
      <c r="A45" s="1" t="s">
        <v>117</v>
      </c>
      <c r="B45" t="s">
        <v>118</v>
      </c>
      <c r="C45" t="s">
        <v>119</v>
      </c>
      <c r="E45" t="str">
        <f t="shared" si="0"/>
        <v>新北市</v>
      </c>
      <c r="F45" t="str">
        <f t="shared" si="1"/>
        <v>新莊區</v>
      </c>
      <c r="G45" s="3" t="s">
        <v>1157</v>
      </c>
    </row>
    <row r="46" spans="1:7" x14ac:dyDescent="0.3">
      <c r="A46" s="1" t="s">
        <v>120</v>
      </c>
      <c r="B46" t="s">
        <v>121</v>
      </c>
      <c r="C46" t="s">
        <v>122</v>
      </c>
      <c r="E46" t="str">
        <f t="shared" si="0"/>
        <v>新北市</v>
      </c>
      <c r="F46" t="str">
        <f t="shared" si="1"/>
        <v>泰山區</v>
      </c>
      <c r="G46" s="3" t="s">
        <v>1158</v>
      </c>
    </row>
    <row r="47" spans="1:7" x14ac:dyDescent="0.3">
      <c r="A47" s="1" t="s">
        <v>123</v>
      </c>
      <c r="B47" t="s">
        <v>124</v>
      </c>
      <c r="C47" t="s">
        <v>125</v>
      </c>
      <c r="E47" t="str">
        <f t="shared" si="0"/>
        <v>新北市</v>
      </c>
      <c r="F47" t="str">
        <f t="shared" si="1"/>
        <v>林口區</v>
      </c>
      <c r="G47" s="3" t="s">
        <v>1159</v>
      </c>
    </row>
    <row r="48" spans="1:7" x14ac:dyDescent="0.3">
      <c r="A48" s="1" t="s">
        <v>126</v>
      </c>
      <c r="B48" t="s">
        <v>127</v>
      </c>
      <c r="C48" t="s">
        <v>128</v>
      </c>
      <c r="E48" t="str">
        <f t="shared" si="0"/>
        <v>新北市</v>
      </c>
      <c r="F48" t="str">
        <f t="shared" si="1"/>
        <v>蘆洲區</v>
      </c>
      <c r="G48" s="3" t="s">
        <v>1160</v>
      </c>
    </row>
    <row r="49" spans="1:7" x14ac:dyDescent="0.3">
      <c r="A49" s="1" t="s">
        <v>129</v>
      </c>
      <c r="B49" t="s">
        <v>130</v>
      </c>
      <c r="C49" t="s">
        <v>131</v>
      </c>
      <c r="E49" t="str">
        <f t="shared" si="0"/>
        <v>新北市</v>
      </c>
      <c r="F49" t="str">
        <f t="shared" si="1"/>
        <v>五股區</v>
      </c>
      <c r="G49" s="3" t="s">
        <v>1161</v>
      </c>
    </row>
    <row r="50" spans="1:7" x14ac:dyDescent="0.3">
      <c r="A50" s="1" t="s">
        <v>132</v>
      </c>
      <c r="B50" t="s">
        <v>133</v>
      </c>
      <c r="C50" t="s">
        <v>134</v>
      </c>
      <c r="E50" t="str">
        <f t="shared" si="0"/>
        <v>新北市</v>
      </c>
      <c r="F50" t="str">
        <f t="shared" si="1"/>
        <v>八里區</v>
      </c>
      <c r="G50" s="3" t="s">
        <v>1162</v>
      </c>
    </row>
    <row r="51" spans="1:7" x14ac:dyDescent="0.3">
      <c r="A51" s="1" t="s">
        <v>135</v>
      </c>
      <c r="B51" t="s">
        <v>136</v>
      </c>
      <c r="C51" t="s">
        <v>137</v>
      </c>
      <c r="E51" t="str">
        <f t="shared" si="0"/>
        <v>新北市</v>
      </c>
      <c r="F51" t="str">
        <f t="shared" si="1"/>
        <v>淡水區</v>
      </c>
      <c r="G51" s="3" t="s">
        <v>1163</v>
      </c>
    </row>
    <row r="52" spans="1:7" x14ac:dyDescent="0.3">
      <c r="A52" s="1" t="s">
        <v>138</v>
      </c>
      <c r="B52" t="s">
        <v>139</v>
      </c>
      <c r="C52" t="s">
        <v>140</v>
      </c>
      <c r="E52" t="str">
        <f t="shared" si="0"/>
        <v>新北市</v>
      </c>
      <c r="F52" t="str">
        <f t="shared" si="1"/>
        <v>三芝區</v>
      </c>
      <c r="G52" s="3" t="s">
        <v>1164</v>
      </c>
    </row>
    <row r="53" spans="1:7" x14ac:dyDescent="0.3">
      <c r="A53" s="1" t="s">
        <v>141</v>
      </c>
      <c r="B53" t="s">
        <v>142</v>
      </c>
      <c r="C53" t="s">
        <v>143</v>
      </c>
      <c r="E53" t="str">
        <f t="shared" si="0"/>
        <v>新北市</v>
      </c>
      <c r="F53" t="str">
        <f t="shared" si="1"/>
        <v>石門區</v>
      </c>
      <c r="G53" s="3" t="s">
        <v>1165</v>
      </c>
    </row>
    <row r="54" spans="1:7" x14ac:dyDescent="0.3">
      <c r="A54" s="1" t="s">
        <v>144</v>
      </c>
      <c r="B54" t="s">
        <v>145</v>
      </c>
      <c r="C54" t="s">
        <v>146</v>
      </c>
      <c r="E54" t="str">
        <f t="shared" si="0"/>
        <v>宜蘭縣</v>
      </c>
      <c r="F54" t="str">
        <f t="shared" si="1"/>
        <v>宜蘭市</v>
      </c>
      <c r="G54" s="3" t="s">
        <v>1166</v>
      </c>
    </row>
    <row r="55" spans="1:7" x14ac:dyDescent="0.3">
      <c r="A55" s="1" t="s">
        <v>147</v>
      </c>
      <c r="B55" t="s">
        <v>148</v>
      </c>
      <c r="C55" t="s">
        <v>149</v>
      </c>
      <c r="E55" t="str">
        <f t="shared" si="0"/>
        <v>宜蘭縣</v>
      </c>
      <c r="F55" t="str">
        <f t="shared" si="1"/>
        <v>頭城鎮</v>
      </c>
      <c r="G55" s="3" t="s">
        <v>1167</v>
      </c>
    </row>
    <row r="56" spans="1:7" x14ac:dyDescent="0.3">
      <c r="A56" s="1" t="s">
        <v>150</v>
      </c>
      <c r="B56" t="s">
        <v>151</v>
      </c>
      <c r="C56" t="s">
        <v>152</v>
      </c>
      <c r="E56" t="str">
        <f t="shared" si="0"/>
        <v>宜蘭縣</v>
      </c>
      <c r="F56" t="str">
        <f t="shared" si="1"/>
        <v>礁溪鄉</v>
      </c>
      <c r="G56" s="3" t="s">
        <v>1168</v>
      </c>
    </row>
    <row r="57" spans="1:7" x14ac:dyDescent="0.3">
      <c r="A57" s="1" t="s">
        <v>153</v>
      </c>
      <c r="B57" t="s">
        <v>154</v>
      </c>
      <c r="C57" t="s">
        <v>155</v>
      </c>
      <c r="E57" t="str">
        <f t="shared" si="0"/>
        <v>宜蘭縣</v>
      </c>
      <c r="F57" t="str">
        <f t="shared" si="1"/>
        <v>壯圍鄉</v>
      </c>
      <c r="G57" s="3" t="s">
        <v>1169</v>
      </c>
    </row>
    <row r="58" spans="1:7" x14ac:dyDescent="0.3">
      <c r="A58" s="1" t="s">
        <v>156</v>
      </c>
      <c r="B58" t="s">
        <v>157</v>
      </c>
      <c r="C58" t="s">
        <v>158</v>
      </c>
      <c r="E58" t="str">
        <f t="shared" si="0"/>
        <v>宜蘭縣</v>
      </c>
      <c r="F58" t="str">
        <f t="shared" si="1"/>
        <v>員山鄉</v>
      </c>
      <c r="G58" s="3" t="s">
        <v>1170</v>
      </c>
    </row>
    <row r="59" spans="1:7" x14ac:dyDescent="0.3">
      <c r="A59" s="1" t="s">
        <v>159</v>
      </c>
      <c r="B59" t="s">
        <v>160</v>
      </c>
      <c r="C59" t="s">
        <v>161</v>
      </c>
      <c r="E59" t="str">
        <f t="shared" si="0"/>
        <v>宜蘭縣</v>
      </c>
      <c r="F59" t="str">
        <f t="shared" si="1"/>
        <v>羅東鎮</v>
      </c>
      <c r="G59" s="3" t="s">
        <v>1171</v>
      </c>
    </row>
    <row r="60" spans="1:7" x14ac:dyDescent="0.3">
      <c r="A60" s="1" t="s">
        <v>162</v>
      </c>
      <c r="B60" t="s">
        <v>163</v>
      </c>
      <c r="C60" t="s">
        <v>164</v>
      </c>
      <c r="E60" t="str">
        <f t="shared" si="0"/>
        <v>宜蘭縣</v>
      </c>
      <c r="F60" t="str">
        <f t="shared" si="1"/>
        <v>三星鄉</v>
      </c>
      <c r="G60" s="3" t="s">
        <v>1172</v>
      </c>
    </row>
    <row r="61" spans="1:7" x14ac:dyDescent="0.3">
      <c r="A61" s="1" t="s">
        <v>165</v>
      </c>
      <c r="B61" t="s">
        <v>166</v>
      </c>
      <c r="C61" t="s">
        <v>167</v>
      </c>
      <c r="E61" t="str">
        <f t="shared" si="0"/>
        <v>宜蘭縣</v>
      </c>
      <c r="F61" t="str">
        <f t="shared" si="1"/>
        <v>大同鄉</v>
      </c>
      <c r="G61" s="3" t="s">
        <v>1173</v>
      </c>
    </row>
    <row r="62" spans="1:7" x14ac:dyDescent="0.3">
      <c r="A62" s="1" t="s">
        <v>168</v>
      </c>
      <c r="B62" t="s">
        <v>169</v>
      </c>
      <c r="C62" t="s">
        <v>170</v>
      </c>
      <c r="E62" t="str">
        <f t="shared" si="0"/>
        <v>宜蘭縣</v>
      </c>
      <c r="F62" t="str">
        <f t="shared" si="1"/>
        <v>五結鄉</v>
      </c>
      <c r="G62" s="3" t="s">
        <v>1174</v>
      </c>
    </row>
    <row r="63" spans="1:7" x14ac:dyDescent="0.3">
      <c r="A63" s="1" t="s">
        <v>171</v>
      </c>
      <c r="B63" t="s">
        <v>172</v>
      </c>
      <c r="C63" t="s">
        <v>173</v>
      </c>
      <c r="E63" t="str">
        <f t="shared" si="0"/>
        <v>宜蘭縣</v>
      </c>
      <c r="F63" t="str">
        <f t="shared" si="1"/>
        <v>冬山鄉</v>
      </c>
      <c r="G63" s="3" t="s">
        <v>1175</v>
      </c>
    </row>
    <row r="64" spans="1:7" x14ac:dyDescent="0.3">
      <c r="A64" s="1" t="s">
        <v>174</v>
      </c>
      <c r="B64" t="s">
        <v>175</v>
      </c>
      <c r="C64" t="s">
        <v>176</v>
      </c>
      <c r="E64" t="str">
        <f t="shared" si="0"/>
        <v>宜蘭縣</v>
      </c>
      <c r="F64" t="str">
        <f t="shared" si="1"/>
        <v>蘇澳鎮</v>
      </c>
      <c r="G64" s="3" t="s">
        <v>1176</v>
      </c>
    </row>
    <row r="65" spans="1:7" x14ac:dyDescent="0.3">
      <c r="A65" s="1" t="s">
        <v>177</v>
      </c>
      <c r="B65" t="s">
        <v>178</v>
      </c>
      <c r="C65" t="s">
        <v>179</v>
      </c>
      <c r="E65" t="str">
        <f t="shared" si="0"/>
        <v>宜蘭縣</v>
      </c>
      <c r="F65" t="str">
        <f t="shared" si="1"/>
        <v>南澳鄉</v>
      </c>
      <c r="G65" s="3" t="s">
        <v>1177</v>
      </c>
    </row>
    <row r="66" spans="1:7" x14ac:dyDescent="0.3">
      <c r="A66" s="1" t="s">
        <v>180</v>
      </c>
      <c r="B66" t="s">
        <v>1013</v>
      </c>
      <c r="C66" t="s">
        <v>181</v>
      </c>
      <c r="E66" t="str">
        <f t="shared" si="0"/>
        <v>宜蘭縣</v>
      </c>
      <c r="F66" t="str">
        <f t="shared" si="1"/>
        <v>釣魚台</v>
      </c>
      <c r="G66" s="3" t="s">
        <v>1178</v>
      </c>
    </row>
    <row r="67" spans="1:7" x14ac:dyDescent="0.3">
      <c r="A67" s="1" t="s">
        <v>182</v>
      </c>
      <c r="B67" t="s">
        <v>183</v>
      </c>
      <c r="C67" t="s">
        <v>184</v>
      </c>
      <c r="E67" t="str">
        <f t="shared" ref="E67:E130" si="2">LEFT(B67,3)</f>
        <v>新竹市</v>
      </c>
      <c r="F67" t="str">
        <f>RIGHT(B67,2)</f>
        <v>東區</v>
      </c>
      <c r="G67" s="3" t="s">
        <v>1179</v>
      </c>
    </row>
    <row r="68" spans="1:7" x14ac:dyDescent="0.3">
      <c r="A68" s="1" t="s">
        <v>182</v>
      </c>
      <c r="B68" t="s">
        <v>185</v>
      </c>
      <c r="C68" t="s">
        <v>186</v>
      </c>
      <c r="E68" t="str">
        <f t="shared" si="2"/>
        <v>新竹市</v>
      </c>
      <c r="F68" t="str">
        <f>RIGHT(B68,2)</f>
        <v>北區</v>
      </c>
      <c r="G68" s="3" t="s">
        <v>1180</v>
      </c>
    </row>
    <row r="69" spans="1:7" x14ac:dyDescent="0.3">
      <c r="A69" s="1" t="s">
        <v>182</v>
      </c>
      <c r="B69" t="s">
        <v>187</v>
      </c>
      <c r="C69" t="s">
        <v>188</v>
      </c>
      <c r="E69" t="str">
        <f t="shared" si="2"/>
        <v>新竹市</v>
      </c>
      <c r="F69" t="str">
        <f t="shared" ref="F69:F113" si="3">RIGHT(B69,3)</f>
        <v>香山區</v>
      </c>
      <c r="G69" s="3" t="s">
        <v>1181</v>
      </c>
    </row>
    <row r="70" spans="1:7" x14ac:dyDescent="0.3">
      <c r="A70" s="1" t="s">
        <v>189</v>
      </c>
      <c r="B70" t="s">
        <v>190</v>
      </c>
      <c r="C70" t="s">
        <v>191</v>
      </c>
      <c r="E70" t="str">
        <f t="shared" si="2"/>
        <v>新竹縣</v>
      </c>
      <c r="F70" t="str">
        <f t="shared" si="3"/>
        <v>竹北市</v>
      </c>
      <c r="G70" s="3" t="s">
        <v>1182</v>
      </c>
    </row>
    <row r="71" spans="1:7" x14ac:dyDescent="0.3">
      <c r="A71" s="1" t="s">
        <v>192</v>
      </c>
      <c r="B71" t="s">
        <v>193</v>
      </c>
      <c r="C71" t="s">
        <v>194</v>
      </c>
      <c r="E71" t="str">
        <f t="shared" si="2"/>
        <v>新竹縣</v>
      </c>
      <c r="F71" t="str">
        <f t="shared" si="3"/>
        <v>湖口鄉</v>
      </c>
      <c r="G71" s="3" t="s">
        <v>1183</v>
      </c>
    </row>
    <row r="72" spans="1:7" x14ac:dyDescent="0.3">
      <c r="A72" s="1" t="s">
        <v>195</v>
      </c>
      <c r="B72" t="s">
        <v>196</v>
      </c>
      <c r="C72" t="s">
        <v>197</v>
      </c>
      <c r="E72" t="str">
        <f t="shared" si="2"/>
        <v>新竹縣</v>
      </c>
      <c r="F72" t="str">
        <f t="shared" si="3"/>
        <v>新豐鄉</v>
      </c>
      <c r="G72" s="3" t="s">
        <v>1184</v>
      </c>
    </row>
    <row r="73" spans="1:7" x14ac:dyDescent="0.3">
      <c r="A73" s="1" t="s">
        <v>198</v>
      </c>
      <c r="B73" t="s">
        <v>199</v>
      </c>
      <c r="C73" t="s">
        <v>200</v>
      </c>
      <c r="E73" t="str">
        <f t="shared" si="2"/>
        <v>新竹縣</v>
      </c>
      <c r="F73" t="str">
        <f t="shared" si="3"/>
        <v>新埔鎮</v>
      </c>
      <c r="G73" s="3" t="s">
        <v>1185</v>
      </c>
    </row>
    <row r="74" spans="1:7" x14ac:dyDescent="0.3">
      <c r="A74" s="1" t="s">
        <v>201</v>
      </c>
      <c r="B74" t="s">
        <v>202</v>
      </c>
      <c r="C74" t="s">
        <v>203</v>
      </c>
      <c r="E74" t="str">
        <f t="shared" si="2"/>
        <v>新竹縣</v>
      </c>
      <c r="F74" t="str">
        <f t="shared" si="3"/>
        <v>關西鎮</v>
      </c>
      <c r="G74" s="3" t="s">
        <v>1186</v>
      </c>
    </row>
    <row r="75" spans="1:7" x14ac:dyDescent="0.3">
      <c r="A75" s="1" t="s">
        <v>204</v>
      </c>
      <c r="B75" t="s">
        <v>205</v>
      </c>
      <c r="C75" t="s">
        <v>206</v>
      </c>
      <c r="E75" t="str">
        <f t="shared" si="2"/>
        <v>新竹縣</v>
      </c>
      <c r="F75" t="str">
        <f t="shared" si="3"/>
        <v>芎林鄉</v>
      </c>
      <c r="G75" s="3" t="s">
        <v>1187</v>
      </c>
    </row>
    <row r="76" spans="1:7" x14ac:dyDescent="0.3">
      <c r="A76" s="1" t="s">
        <v>207</v>
      </c>
      <c r="B76" t="s">
        <v>208</v>
      </c>
      <c r="C76" t="s">
        <v>209</v>
      </c>
      <c r="E76" t="str">
        <f t="shared" si="2"/>
        <v>新竹縣</v>
      </c>
      <c r="F76" t="str">
        <f t="shared" si="3"/>
        <v>寶山鄉</v>
      </c>
      <c r="G76" s="3" t="s">
        <v>1188</v>
      </c>
    </row>
    <row r="77" spans="1:7" x14ac:dyDescent="0.3">
      <c r="A77" s="1" t="s">
        <v>210</v>
      </c>
      <c r="B77" t="s">
        <v>211</v>
      </c>
      <c r="C77" t="s">
        <v>212</v>
      </c>
      <c r="E77" t="str">
        <f t="shared" si="2"/>
        <v>新竹縣</v>
      </c>
      <c r="F77" t="str">
        <f t="shared" si="3"/>
        <v>竹東鎮</v>
      </c>
      <c r="G77" s="3" t="s">
        <v>1189</v>
      </c>
    </row>
    <row r="78" spans="1:7" x14ac:dyDescent="0.3">
      <c r="A78" s="1" t="s">
        <v>213</v>
      </c>
      <c r="B78" t="s">
        <v>214</v>
      </c>
      <c r="C78" t="s">
        <v>215</v>
      </c>
      <c r="E78" t="str">
        <f t="shared" si="2"/>
        <v>新竹縣</v>
      </c>
      <c r="F78" t="str">
        <f t="shared" si="3"/>
        <v>五峰鄉</v>
      </c>
      <c r="G78" s="3" t="s">
        <v>1190</v>
      </c>
    </row>
    <row r="79" spans="1:7" x14ac:dyDescent="0.3">
      <c r="A79" s="1" t="s">
        <v>216</v>
      </c>
      <c r="B79" t="s">
        <v>217</v>
      </c>
      <c r="C79" t="s">
        <v>218</v>
      </c>
      <c r="E79" t="str">
        <f t="shared" si="2"/>
        <v>新竹縣</v>
      </c>
      <c r="F79" t="str">
        <f t="shared" si="3"/>
        <v>橫山鄉</v>
      </c>
      <c r="G79" s="3" t="s">
        <v>1191</v>
      </c>
    </row>
    <row r="80" spans="1:7" x14ac:dyDescent="0.3">
      <c r="A80" s="1" t="s">
        <v>219</v>
      </c>
      <c r="B80" t="s">
        <v>220</v>
      </c>
      <c r="C80" t="s">
        <v>221</v>
      </c>
      <c r="E80" t="str">
        <f t="shared" si="2"/>
        <v>新竹縣</v>
      </c>
      <c r="F80" t="str">
        <f t="shared" si="3"/>
        <v>尖石鄉</v>
      </c>
      <c r="G80" s="3" t="s">
        <v>1192</v>
      </c>
    </row>
    <row r="81" spans="1:7" x14ac:dyDescent="0.3">
      <c r="A81" s="1" t="s">
        <v>222</v>
      </c>
      <c r="B81" t="s">
        <v>223</v>
      </c>
      <c r="C81" t="s">
        <v>224</v>
      </c>
      <c r="E81" t="str">
        <f t="shared" si="2"/>
        <v>新竹縣</v>
      </c>
      <c r="F81" t="str">
        <f t="shared" si="3"/>
        <v>北埔鄉</v>
      </c>
      <c r="G81" s="3" t="s">
        <v>1193</v>
      </c>
    </row>
    <row r="82" spans="1:7" x14ac:dyDescent="0.3">
      <c r="A82" s="1" t="s">
        <v>225</v>
      </c>
      <c r="B82" t="s">
        <v>226</v>
      </c>
      <c r="C82" t="s">
        <v>227</v>
      </c>
      <c r="E82" t="str">
        <f t="shared" si="2"/>
        <v>新竹縣</v>
      </c>
      <c r="F82" t="str">
        <f t="shared" si="3"/>
        <v>峨眉鄉</v>
      </c>
      <c r="G82" s="3" t="s">
        <v>1194</v>
      </c>
    </row>
    <row r="83" spans="1:7" x14ac:dyDescent="0.3">
      <c r="A83" s="1" t="s">
        <v>228</v>
      </c>
      <c r="B83" t="s">
        <v>229</v>
      </c>
      <c r="C83" t="s">
        <v>230</v>
      </c>
      <c r="E83" t="str">
        <f t="shared" si="2"/>
        <v>桃園市</v>
      </c>
      <c r="F83" t="str">
        <f t="shared" si="3"/>
        <v>中壢區</v>
      </c>
      <c r="G83" s="3" t="s">
        <v>1195</v>
      </c>
    </row>
    <row r="84" spans="1:7" x14ac:dyDescent="0.3">
      <c r="A84" s="1" t="s">
        <v>231</v>
      </c>
      <c r="B84" t="s">
        <v>232</v>
      </c>
      <c r="C84" t="s">
        <v>233</v>
      </c>
      <c r="E84" t="str">
        <f t="shared" si="2"/>
        <v>桃園市</v>
      </c>
      <c r="F84" t="str">
        <f t="shared" si="3"/>
        <v>平鎮區</v>
      </c>
      <c r="G84" s="3" t="s">
        <v>1196</v>
      </c>
    </row>
    <row r="85" spans="1:7" x14ac:dyDescent="0.3">
      <c r="A85" s="1" t="s">
        <v>234</v>
      </c>
      <c r="B85" t="s">
        <v>235</v>
      </c>
      <c r="C85" t="s">
        <v>236</v>
      </c>
      <c r="E85" t="str">
        <f t="shared" si="2"/>
        <v>桃園市</v>
      </c>
      <c r="F85" t="str">
        <f t="shared" si="3"/>
        <v>龍潭區</v>
      </c>
      <c r="G85" s="3" t="s">
        <v>1197</v>
      </c>
    </row>
    <row r="86" spans="1:7" x14ac:dyDescent="0.3">
      <c r="A86" s="1" t="s">
        <v>237</v>
      </c>
      <c r="B86" t="s">
        <v>238</v>
      </c>
      <c r="C86" t="s">
        <v>239</v>
      </c>
      <c r="E86" t="str">
        <f t="shared" si="2"/>
        <v>桃園市</v>
      </c>
      <c r="F86" t="str">
        <f t="shared" si="3"/>
        <v>楊梅區</v>
      </c>
      <c r="G86" s="3" t="s">
        <v>1198</v>
      </c>
    </row>
    <row r="87" spans="1:7" x14ac:dyDescent="0.3">
      <c r="A87" s="1" t="s">
        <v>240</v>
      </c>
      <c r="B87" t="s">
        <v>241</v>
      </c>
      <c r="C87" t="s">
        <v>242</v>
      </c>
      <c r="E87" t="str">
        <f t="shared" si="2"/>
        <v>桃園市</v>
      </c>
      <c r="F87" t="str">
        <f t="shared" si="3"/>
        <v>新屋區</v>
      </c>
      <c r="G87" s="3" t="s">
        <v>1199</v>
      </c>
    </row>
    <row r="88" spans="1:7" x14ac:dyDescent="0.3">
      <c r="A88" s="1" t="s">
        <v>243</v>
      </c>
      <c r="B88" t="s">
        <v>244</v>
      </c>
      <c r="C88" t="s">
        <v>245</v>
      </c>
      <c r="E88" t="str">
        <f t="shared" si="2"/>
        <v>桃園市</v>
      </c>
      <c r="F88" t="str">
        <f t="shared" si="3"/>
        <v>觀音區</v>
      </c>
      <c r="G88" s="3" t="s">
        <v>1200</v>
      </c>
    </row>
    <row r="89" spans="1:7" x14ac:dyDescent="0.3">
      <c r="A89" s="1" t="s">
        <v>246</v>
      </c>
      <c r="B89" t="s">
        <v>247</v>
      </c>
      <c r="C89" t="s">
        <v>248</v>
      </c>
      <c r="E89" t="str">
        <f t="shared" si="2"/>
        <v>桃園市</v>
      </c>
      <c r="F89" t="str">
        <f t="shared" si="3"/>
        <v>桃園區</v>
      </c>
      <c r="G89" s="3" t="s">
        <v>1201</v>
      </c>
    </row>
    <row r="90" spans="1:7" x14ac:dyDescent="0.3">
      <c r="A90" s="1" t="s">
        <v>249</v>
      </c>
      <c r="B90" t="s">
        <v>250</v>
      </c>
      <c r="C90" t="s">
        <v>251</v>
      </c>
      <c r="E90" t="str">
        <f t="shared" si="2"/>
        <v>桃園市</v>
      </c>
      <c r="F90" t="str">
        <f t="shared" si="3"/>
        <v>龜山區</v>
      </c>
      <c r="G90" s="3" t="s">
        <v>1202</v>
      </c>
    </row>
    <row r="91" spans="1:7" x14ac:dyDescent="0.3">
      <c r="A91" s="1" t="s">
        <v>252</v>
      </c>
      <c r="B91" t="s">
        <v>253</v>
      </c>
      <c r="C91" t="s">
        <v>254</v>
      </c>
      <c r="E91" t="str">
        <f t="shared" si="2"/>
        <v>桃園市</v>
      </c>
      <c r="F91" t="str">
        <f t="shared" si="3"/>
        <v>八德區</v>
      </c>
      <c r="G91" s="3" t="s">
        <v>1203</v>
      </c>
    </row>
    <row r="92" spans="1:7" x14ac:dyDescent="0.3">
      <c r="A92" s="1" t="s">
        <v>255</v>
      </c>
      <c r="B92" t="s">
        <v>256</v>
      </c>
      <c r="C92" t="s">
        <v>257</v>
      </c>
      <c r="E92" t="str">
        <f t="shared" si="2"/>
        <v>桃園市</v>
      </c>
      <c r="F92" t="str">
        <f t="shared" si="3"/>
        <v>大溪區</v>
      </c>
      <c r="G92" s="3" t="s">
        <v>1204</v>
      </c>
    </row>
    <row r="93" spans="1:7" x14ac:dyDescent="0.3">
      <c r="A93" s="1" t="s">
        <v>258</v>
      </c>
      <c r="B93" t="s">
        <v>259</v>
      </c>
      <c r="C93" t="s">
        <v>260</v>
      </c>
      <c r="E93" t="str">
        <f t="shared" si="2"/>
        <v>桃園市</v>
      </c>
      <c r="F93" t="str">
        <f t="shared" si="3"/>
        <v>復興區</v>
      </c>
      <c r="G93" s="3" t="s">
        <v>1205</v>
      </c>
    </row>
    <row r="94" spans="1:7" x14ac:dyDescent="0.3">
      <c r="A94" s="1" t="s">
        <v>261</v>
      </c>
      <c r="B94" t="s">
        <v>262</v>
      </c>
      <c r="C94" t="s">
        <v>263</v>
      </c>
      <c r="E94" t="str">
        <f t="shared" si="2"/>
        <v>桃園市</v>
      </c>
      <c r="F94" t="str">
        <f t="shared" si="3"/>
        <v>大園區</v>
      </c>
      <c r="G94" s="3" t="s">
        <v>1206</v>
      </c>
    </row>
    <row r="95" spans="1:7" x14ac:dyDescent="0.3">
      <c r="A95" s="1" t="s">
        <v>264</v>
      </c>
      <c r="B95" t="s">
        <v>265</v>
      </c>
      <c r="C95" t="s">
        <v>266</v>
      </c>
      <c r="E95" t="str">
        <f t="shared" si="2"/>
        <v>桃園市</v>
      </c>
      <c r="F95" t="str">
        <f t="shared" si="3"/>
        <v>蘆竹區</v>
      </c>
      <c r="G95" s="3" t="s">
        <v>1207</v>
      </c>
    </row>
    <row r="96" spans="1:7" x14ac:dyDescent="0.3">
      <c r="A96" s="1" t="s">
        <v>267</v>
      </c>
      <c r="B96" t="s">
        <v>268</v>
      </c>
      <c r="C96" t="s">
        <v>269</v>
      </c>
      <c r="E96" t="str">
        <f t="shared" si="2"/>
        <v>苗栗縣</v>
      </c>
      <c r="F96" t="str">
        <f t="shared" si="3"/>
        <v>竹南鎮</v>
      </c>
      <c r="G96" s="3" t="s">
        <v>1208</v>
      </c>
    </row>
    <row r="97" spans="1:7" x14ac:dyDescent="0.3">
      <c r="A97" s="1" t="s">
        <v>270</v>
      </c>
      <c r="B97" t="s">
        <v>271</v>
      </c>
      <c r="C97" t="s">
        <v>272</v>
      </c>
      <c r="E97" t="str">
        <f t="shared" si="2"/>
        <v>苗栗縣</v>
      </c>
      <c r="F97" t="str">
        <f t="shared" si="3"/>
        <v>頭份市</v>
      </c>
      <c r="G97" s="3" t="s">
        <v>1209</v>
      </c>
    </row>
    <row r="98" spans="1:7" x14ac:dyDescent="0.3">
      <c r="A98" s="1" t="s">
        <v>273</v>
      </c>
      <c r="B98" t="s">
        <v>274</v>
      </c>
      <c r="C98" t="s">
        <v>275</v>
      </c>
      <c r="E98" t="str">
        <f t="shared" si="2"/>
        <v>苗栗縣</v>
      </c>
      <c r="F98" t="str">
        <f t="shared" si="3"/>
        <v>三灣鄉</v>
      </c>
      <c r="G98" s="3" t="s">
        <v>1210</v>
      </c>
    </row>
    <row r="99" spans="1:7" x14ac:dyDescent="0.3">
      <c r="A99" s="1" t="s">
        <v>276</v>
      </c>
      <c r="B99" t="s">
        <v>277</v>
      </c>
      <c r="C99" t="s">
        <v>278</v>
      </c>
      <c r="E99" t="str">
        <f t="shared" si="2"/>
        <v>苗栗縣</v>
      </c>
      <c r="F99" t="str">
        <f t="shared" si="3"/>
        <v>南庄鄉</v>
      </c>
      <c r="G99" s="3" t="s">
        <v>1211</v>
      </c>
    </row>
    <row r="100" spans="1:7" x14ac:dyDescent="0.3">
      <c r="A100" s="1" t="s">
        <v>279</v>
      </c>
      <c r="B100" t="s">
        <v>280</v>
      </c>
      <c r="C100" t="s">
        <v>281</v>
      </c>
      <c r="E100" t="str">
        <f t="shared" si="2"/>
        <v>苗栗縣</v>
      </c>
      <c r="F100" t="str">
        <f t="shared" si="3"/>
        <v>獅潭鄉</v>
      </c>
      <c r="G100" s="3" t="s">
        <v>1212</v>
      </c>
    </row>
    <row r="101" spans="1:7" x14ac:dyDescent="0.3">
      <c r="A101" s="1" t="s">
        <v>282</v>
      </c>
      <c r="B101" t="s">
        <v>283</v>
      </c>
      <c r="C101" t="s">
        <v>284</v>
      </c>
      <c r="E101" t="str">
        <f t="shared" si="2"/>
        <v>苗栗縣</v>
      </c>
      <c r="F101" t="str">
        <f t="shared" si="3"/>
        <v>後龍鎮</v>
      </c>
      <c r="G101" s="3" t="s">
        <v>0</v>
      </c>
    </row>
    <row r="102" spans="1:7" x14ac:dyDescent="0.3">
      <c r="A102" s="1" t="s">
        <v>285</v>
      </c>
      <c r="B102" t="s">
        <v>286</v>
      </c>
      <c r="C102" t="s">
        <v>287</v>
      </c>
      <c r="E102" t="str">
        <f t="shared" si="2"/>
        <v>苗栗縣</v>
      </c>
      <c r="F102" t="str">
        <f t="shared" si="3"/>
        <v>通霄鎮</v>
      </c>
      <c r="G102" s="3" t="s">
        <v>1213</v>
      </c>
    </row>
    <row r="103" spans="1:7" x14ac:dyDescent="0.3">
      <c r="A103" s="1" t="s">
        <v>288</v>
      </c>
      <c r="B103" t="s">
        <v>289</v>
      </c>
      <c r="C103" t="s">
        <v>290</v>
      </c>
      <c r="E103" t="str">
        <f t="shared" si="2"/>
        <v>苗栗縣</v>
      </c>
      <c r="F103" t="str">
        <f t="shared" si="3"/>
        <v>苑裡鎮</v>
      </c>
      <c r="G103" s="3" t="s">
        <v>1214</v>
      </c>
    </row>
    <row r="104" spans="1:7" x14ac:dyDescent="0.3">
      <c r="A104" s="1" t="s">
        <v>291</v>
      </c>
      <c r="B104" t="s">
        <v>292</v>
      </c>
      <c r="C104" t="s">
        <v>293</v>
      </c>
      <c r="E104" t="str">
        <f t="shared" si="2"/>
        <v>苗栗縣</v>
      </c>
      <c r="F104" t="str">
        <f t="shared" si="3"/>
        <v>苗栗市</v>
      </c>
      <c r="G104" s="3" t="s">
        <v>2</v>
      </c>
    </row>
    <row r="105" spans="1:7" x14ac:dyDescent="0.3">
      <c r="A105" s="1" t="s">
        <v>294</v>
      </c>
      <c r="B105" t="s">
        <v>295</v>
      </c>
      <c r="C105" t="s">
        <v>296</v>
      </c>
      <c r="E105" t="str">
        <f t="shared" si="2"/>
        <v>苗栗縣</v>
      </c>
      <c r="F105" t="str">
        <f t="shared" si="3"/>
        <v>造橋鄉</v>
      </c>
      <c r="G105" s="3" t="s">
        <v>4</v>
      </c>
    </row>
    <row r="106" spans="1:7" x14ac:dyDescent="0.3">
      <c r="A106" s="1" t="s">
        <v>297</v>
      </c>
      <c r="B106" t="s">
        <v>298</v>
      </c>
      <c r="C106" t="s">
        <v>299</v>
      </c>
      <c r="E106" t="str">
        <f t="shared" si="2"/>
        <v>苗栗縣</v>
      </c>
      <c r="F106" t="str">
        <f t="shared" si="3"/>
        <v>頭屋鄉</v>
      </c>
      <c r="G106" s="3" t="s">
        <v>6</v>
      </c>
    </row>
    <row r="107" spans="1:7" x14ac:dyDescent="0.3">
      <c r="A107" s="1" t="s">
        <v>300</v>
      </c>
      <c r="B107" t="s">
        <v>301</v>
      </c>
      <c r="C107" t="s">
        <v>302</v>
      </c>
      <c r="E107" t="str">
        <f t="shared" si="2"/>
        <v>苗栗縣</v>
      </c>
      <c r="F107" t="str">
        <f t="shared" si="3"/>
        <v>公館鄉</v>
      </c>
      <c r="G107" s="3" t="s">
        <v>8</v>
      </c>
    </row>
    <row r="108" spans="1:7" x14ac:dyDescent="0.3">
      <c r="A108" s="1" t="s">
        <v>303</v>
      </c>
      <c r="B108" t="s">
        <v>304</v>
      </c>
      <c r="C108" t="s">
        <v>305</v>
      </c>
      <c r="E108" t="str">
        <f t="shared" si="2"/>
        <v>苗栗縣</v>
      </c>
      <c r="F108" t="str">
        <f t="shared" si="3"/>
        <v>大湖鄉</v>
      </c>
      <c r="G108" s="3" t="s">
        <v>1215</v>
      </c>
    </row>
    <row r="109" spans="1:7" x14ac:dyDescent="0.3">
      <c r="A109" s="1" t="s">
        <v>306</v>
      </c>
      <c r="B109" t="s">
        <v>307</v>
      </c>
      <c r="C109" t="s">
        <v>308</v>
      </c>
      <c r="E109" t="str">
        <f t="shared" si="2"/>
        <v>苗栗縣</v>
      </c>
      <c r="F109" t="str">
        <f t="shared" si="3"/>
        <v>泰安鄉</v>
      </c>
      <c r="G109" s="3" t="s">
        <v>10</v>
      </c>
    </row>
    <row r="110" spans="1:7" x14ac:dyDescent="0.3">
      <c r="A110" s="1" t="s">
        <v>309</v>
      </c>
      <c r="B110" t="s">
        <v>310</v>
      </c>
      <c r="C110" t="s">
        <v>311</v>
      </c>
      <c r="E110" t="str">
        <f t="shared" si="2"/>
        <v>苗栗縣</v>
      </c>
      <c r="F110" t="str">
        <f t="shared" si="3"/>
        <v>銅鑼鄉</v>
      </c>
      <c r="G110" s="3" t="s">
        <v>1216</v>
      </c>
    </row>
    <row r="111" spans="1:7" x14ac:dyDescent="0.3">
      <c r="A111" s="1" t="s">
        <v>312</v>
      </c>
      <c r="B111" t="s">
        <v>313</v>
      </c>
      <c r="C111" t="s">
        <v>314</v>
      </c>
      <c r="E111" t="str">
        <f t="shared" si="2"/>
        <v>苗栗縣</v>
      </c>
      <c r="F111" t="str">
        <f t="shared" si="3"/>
        <v>三義鄉</v>
      </c>
      <c r="G111" s="3" t="s">
        <v>12</v>
      </c>
    </row>
    <row r="112" spans="1:7" x14ac:dyDescent="0.3">
      <c r="A112" s="1" t="s">
        <v>315</v>
      </c>
      <c r="B112" t="s">
        <v>316</v>
      </c>
      <c r="C112" t="s">
        <v>317</v>
      </c>
      <c r="E112" t="str">
        <f t="shared" si="2"/>
        <v>苗栗縣</v>
      </c>
      <c r="F112" t="str">
        <f t="shared" si="3"/>
        <v>西湖鄉</v>
      </c>
      <c r="G112" s="3" t="s">
        <v>14</v>
      </c>
    </row>
    <row r="113" spans="1:7" x14ac:dyDescent="0.3">
      <c r="A113" s="1" t="s">
        <v>318</v>
      </c>
      <c r="B113" t="s">
        <v>319</v>
      </c>
      <c r="C113" t="s">
        <v>320</v>
      </c>
      <c r="E113" t="str">
        <f t="shared" si="2"/>
        <v>苗栗縣</v>
      </c>
      <c r="F113" t="str">
        <f t="shared" si="3"/>
        <v>卓蘭鎮</v>
      </c>
      <c r="G113" s="3" t="s">
        <v>16</v>
      </c>
    </row>
    <row r="114" spans="1:7" x14ac:dyDescent="0.3">
      <c r="A114" s="1" t="s">
        <v>321</v>
      </c>
      <c r="B114" t="s">
        <v>1029</v>
      </c>
      <c r="C114" t="s">
        <v>322</v>
      </c>
      <c r="E114" t="str">
        <f t="shared" si="2"/>
        <v>台中市</v>
      </c>
      <c r="F114" t="str">
        <f>RIGHT(B114,2)</f>
        <v>中區</v>
      </c>
      <c r="G114" s="3" t="s">
        <v>1217</v>
      </c>
    </row>
    <row r="115" spans="1:7" x14ac:dyDescent="0.3">
      <c r="A115" s="1" t="s">
        <v>323</v>
      </c>
      <c r="B115" t="s">
        <v>1030</v>
      </c>
      <c r="C115" t="s">
        <v>324</v>
      </c>
      <c r="E115" t="str">
        <f t="shared" si="2"/>
        <v>台中市</v>
      </c>
      <c r="F115" t="str">
        <f>RIGHT(B115,2)</f>
        <v>東區</v>
      </c>
      <c r="G115" s="3" t="s">
        <v>18</v>
      </c>
    </row>
    <row r="116" spans="1:7" x14ac:dyDescent="0.3">
      <c r="A116" s="1" t="s">
        <v>325</v>
      </c>
      <c r="B116" t="s">
        <v>1031</v>
      </c>
      <c r="C116" t="s">
        <v>326</v>
      </c>
      <c r="E116" t="str">
        <f t="shared" si="2"/>
        <v>台中市</v>
      </c>
      <c r="F116" t="str">
        <f>RIGHT(B116,2)</f>
        <v>南區</v>
      </c>
      <c r="G116" s="3" t="s">
        <v>20</v>
      </c>
    </row>
    <row r="117" spans="1:7" x14ac:dyDescent="0.3">
      <c r="A117" s="1" t="s">
        <v>327</v>
      </c>
      <c r="B117" t="s">
        <v>1032</v>
      </c>
      <c r="C117" t="s">
        <v>328</v>
      </c>
      <c r="E117" t="str">
        <f t="shared" si="2"/>
        <v>台中市</v>
      </c>
      <c r="F117" t="str">
        <f>RIGHT(B117,2)</f>
        <v>西區</v>
      </c>
      <c r="G117" s="3" t="s">
        <v>22</v>
      </c>
    </row>
    <row r="118" spans="1:7" x14ac:dyDescent="0.3">
      <c r="A118" s="1" t="s">
        <v>329</v>
      </c>
      <c r="B118" t="s">
        <v>1033</v>
      </c>
      <c r="C118" t="s">
        <v>330</v>
      </c>
      <c r="E118" t="str">
        <f t="shared" si="2"/>
        <v>台中市</v>
      </c>
      <c r="F118" t="str">
        <f>RIGHT(B118,2)</f>
        <v>北區</v>
      </c>
      <c r="G118" s="3" t="s">
        <v>1218</v>
      </c>
    </row>
    <row r="119" spans="1:7" x14ac:dyDescent="0.3">
      <c r="A119" s="1" t="s">
        <v>331</v>
      </c>
      <c r="B119" t="s">
        <v>1034</v>
      </c>
      <c r="C119" t="s">
        <v>332</v>
      </c>
      <c r="E119" t="str">
        <f t="shared" si="2"/>
        <v>台中市</v>
      </c>
      <c r="F119" t="str">
        <f t="shared" ref="F119:F150" si="4">RIGHT(B119,3)</f>
        <v>北屯區</v>
      </c>
      <c r="G119" s="3" t="s">
        <v>1219</v>
      </c>
    </row>
    <row r="120" spans="1:7" x14ac:dyDescent="0.3">
      <c r="A120" s="1" t="s">
        <v>333</v>
      </c>
      <c r="B120" t="s">
        <v>1035</v>
      </c>
      <c r="C120" t="s">
        <v>334</v>
      </c>
      <c r="E120" t="str">
        <f t="shared" si="2"/>
        <v>台中市</v>
      </c>
      <c r="F120" t="str">
        <f t="shared" si="4"/>
        <v>西屯區</v>
      </c>
      <c r="G120" s="3" t="s">
        <v>1220</v>
      </c>
    </row>
    <row r="121" spans="1:7" x14ac:dyDescent="0.3">
      <c r="A121" s="1" t="s">
        <v>335</v>
      </c>
      <c r="B121" t="s">
        <v>1036</v>
      </c>
      <c r="C121" t="s">
        <v>336</v>
      </c>
      <c r="E121" t="str">
        <f t="shared" si="2"/>
        <v>台中市</v>
      </c>
      <c r="F121" t="str">
        <f t="shared" si="4"/>
        <v>南屯區</v>
      </c>
      <c r="G121" s="3" t="s">
        <v>1221</v>
      </c>
    </row>
    <row r="122" spans="1:7" x14ac:dyDescent="0.3">
      <c r="A122" s="1" t="s">
        <v>337</v>
      </c>
      <c r="B122" t="s">
        <v>1037</v>
      </c>
      <c r="C122" t="s">
        <v>338</v>
      </c>
      <c r="E122" t="str">
        <f t="shared" si="2"/>
        <v>台中市</v>
      </c>
      <c r="F122" t="str">
        <f t="shared" si="4"/>
        <v>太平區</v>
      </c>
      <c r="G122" s="3" t="s">
        <v>1222</v>
      </c>
    </row>
    <row r="123" spans="1:7" x14ac:dyDescent="0.3">
      <c r="A123" s="1" t="s">
        <v>339</v>
      </c>
      <c r="B123" t="s">
        <v>1038</v>
      </c>
      <c r="C123" t="s">
        <v>340</v>
      </c>
      <c r="E123" t="str">
        <f t="shared" si="2"/>
        <v>台中市</v>
      </c>
      <c r="F123" t="str">
        <f t="shared" si="4"/>
        <v>大里區</v>
      </c>
      <c r="G123" s="3" t="s">
        <v>1223</v>
      </c>
    </row>
    <row r="124" spans="1:7" x14ac:dyDescent="0.3">
      <c r="A124" s="1" t="s">
        <v>341</v>
      </c>
      <c r="B124" t="s">
        <v>1039</v>
      </c>
      <c r="C124" t="s">
        <v>342</v>
      </c>
      <c r="E124" t="str">
        <f t="shared" si="2"/>
        <v>台中市</v>
      </c>
      <c r="F124" t="str">
        <f t="shared" si="4"/>
        <v>霧峰區</v>
      </c>
      <c r="G124" s="3" t="s">
        <v>1224</v>
      </c>
    </row>
    <row r="125" spans="1:7" x14ac:dyDescent="0.3">
      <c r="A125" s="1" t="s">
        <v>343</v>
      </c>
      <c r="B125" t="s">
        <v>1040</v>
      </c>
      <c r="C125" t="s">
        <v>344</v>
      </c>
      <c r="E125" t="str">
        <f t="shared" si="2"/>
        <v>台中市</v>
      </c>
      <c r="F125" t="str">
        <f t="shared" si="4"/>
        <v>烏日區</v>
      </c>
      <c r="G125" s="3" t="s">
        <v>1225</v>
      </c>
    </row>
    <row r="126" spans="1:7" x14ac:dyDescent="0.3">
      <c r="A126" s="1" t="s">
        <v>345</v>
      </c>
      <c r="B126" t="s">
        <v>1041</v>
      </c>
      <c r="C126" t="s">
        <v>346</v>
      </c>
      <c r="E126" t="str">
        <f t="shared" si="2"/>
        <v>台中市</v>
      </c>
      <c r="F126" t="str">
        <f t="shared" si="4"/>
        <v>豐原區</v>
      </c>
      <c r="G126" s="3" t="s">
        <v>1226</v>
      </c>
    </row>
    <row r="127" spans="1:7" x14ac:dyDescent="0.3">
      <c r="A127" s="1" t="s">
        <v>347</v>
      </c>
      <c r="B127" t="s">
        <v>1042</v>
      </c>
      <c r="C127" t="s">
        <v>348</v>
      </c>
      <c r="E127" t="str">
        <f t="shared" si="2"/>
        <v>台中市</v>
      </c>
      <c r="F127" t="str">
        <f t="shared" si="4"/>
        <v>后里區</v>
      </c>
      <c r="G127" s="3" t="s">
        <v>1227</v>
      </c>
    </row>
    <row r="128" spans="1:7" x14ac:dyDescent="0.3">
      <c r="A128" s="1" t="s">
        <v>349</v>
      </c>
      <c r="B128" t="s">
        <v>1043</v>
      </c>
      <c r="C128" t="s">
        <v>350</v>
      </c>
      <c r="E128" t="str">
        <f t="shared" si="2"/>
        <v>台中市</v>
      </c>
      <c r="F128" t="str">
        <f t="shared" si="4"/>
        <v>石岡區</v>
      </c>
      <c r="G128" s="3" t="s">
        <v>1228</v>
      </c>
    </row>
    <row r="129" spans="1:7" x14ac:dyDescent="0.3">
      <c r="A129" s="1" t="s">
        <v>351</v>
      </c>
      <c r="B129" t="s">
        <v>1044</v>
      </c>
      <c r="C129" t="s">
        <v>352</v>
      </c>
      <c r="E129" t="str">
        <f t="shared" si="2"/>
        <v>台中市</v>
      </c>
      <c r="F129" t="str">
        <f t="shared" si="4"/>
        <v>東勢區</v>
      </c>
      <c r="G129" s="3" t="s">
        <v>1229</v>
      </c>
    </row>
    <row r="130" spans="1:7" x14ac:dyDescent="0.3">
      <c r="A130" s="1" t="s">
        <v>353</v>
      </c>
      <c r="B130" t="s">
        <v>1045</v>
      </c>
      <c r="C130" t="s">
        <v>354</v>
      </c>
      <c r="E130" t="str">
        <f t="shared" si="2"/>
        <v>台中市</v>
      </c>
      <c r="F130" t="str">
        <f t="shared" si="4"/>
        <v>和平區</v>
      </c>
      <c r="G130" s="3" t="s">
        <v>1230</v>
      </c>
    </row>
    <row r="131" spans="1:7" x14ac:dyDescent="0.3">
      <c r="A131" s="1" t="s">
        <v>355</v>
      </c>
      <c r="B131" t="s">
        <v>1046</v>
      </c>
      <c r="C131" t="s">
        <v>356</v>
      </c>
      <c r="E131" t="str">
        <f t="shared" ref="E131:E194" si="5">LEFT(B131,3)</f>
        <v>台中市</v>
      </c>
      <c r="F131" t="str">
        <f t="shared" si="4"/>
        <v>新社區</v>
      </c>
      <c r="G131" s="3" t="s">
        <v>1231</v>
      </c>
    </row>
    <row r="132" spans="1:7" x14ac:dyDescent="0.3">
      <c r="A132" s="1" t="s">
        <v>357</v>
      </c>
      <c r="B132" t="s">
        <v>1047</v>
      </c>
      <c r="C132" t="s">
        <v>358</v>
      </c>
      <c r="E132" t="str">
        <f t="shared" si="5"/>
        <v>台中市</v>
      </c>
      <c r="F132" t="str">
        <f t="shared" si="4"/>
        <v>潭子區</v>
      </c>
      <c r="G132" s="3" t="s">
        <v>1232</v>
      </c>
    </row>
    <row r="133" spans="1:7" x14ac:dyDescent="0.3">
      <c r="A133" s="1" t="s">
        <v>359</v>
      </c>
      <c r="B133" t="s">
        <v>1048</v>
      </c>
      <c r="C133" t="s">
        <v>360</v>
      </c>
      <c r="E133" t="str">
        <f t="shared" si="5"/>
        <v>台中市</v>
      </c>
      <c r="F133" t="str">
        <f t="shared" si="4"/>
        <v>大雅區</v>
      </c>
      <c r="G133" s="3" t="s">
        <v>1233</v>
      </c>
    </row>
    <row r="134" spans="1:7" x14ac:dyDescent="0.3">
      <c r="A134" s="1" t="s">
        <v>361</v>
      </c>
      <c r="B134" t="s">
        <v>1049</v>
      </c>
      <c r="C134" t="s">
        <v>362</v>
      </c>
      <c r="E134" t="str">
        <f t="shared" si="5"/>
        <v>台中市</v>
      </c>
      <c r="F134" t="str">
        <f t="shared" si="4"/>
        <v>神岡區</v>
      </c>
      <c r="G134" s="3" t="s">
        <v>1234</v>
      </c>
    </row>
    <row r="135" spans="1:7" x14ac:dyDescent="0.3">
      <c r="A135" s="1" t="s">
        <v>363</v>
      </c>
      <c r="B135" t="s">
        <v>1050</v>
      </c>
      <c r="C135" t="s">
        <v>364</v>
      </c>
      <c r="E135" t="str">
        <f t="shared" si="5"/>
        <v>台中市</v>
      </c>
      <c r="F135" t="str">
        <f t="shared" si="4"/>
        <v>大肚區</v>
      </c>
      <c r="G135" s="3" t="s">
        <v>1235</v>
      </c>
    </row>
    <row r="136" spans="1:7" x14ac:dyDescent="0.3">
      <c r="A136" s="1" t="s">
        <v>365</v>
      </c>
      <c r="B136" t="s">
        <v>1051</v>
      </c>
      <c r="C136" t="s">
        <v>366</v>
      </c>
      <c r="E136" t="str">
        <f t="shared" si="5"/>
        <v>台中市</v>
      </c>
      <c r="F136" t="str">
        <f t="shared" si="4"/>
        <v>沙鹿區</v>
      </c>
      <c r="G136" s="3" t="s">
        <v>1236</v>
      </c>
    </row>
    <row r="137" spans="1:7" x14ac:dyDescent="0.3">
      <c r="A137" s="1" t="s">
        <v>367</v>
      </c>
      <c r="B137" t="s">
        <v>1052</v>
      </c>
      <c r="C137" t="s">
        <v>368</v>
      </c>
      <c r="E137" t="str">
        <f t="shared" si="5"/>
        <v>台中市</v>
      </c>
      <c r="F137" t="str">
        <f t="shared" si="4"/>
        <v>龍井區</v>
      </c>
      <c r="G137" s="3" t="s">
        <v>1237</v>
      </c>
    </row>
    <row r="138" spans="1:7" x14ac:dyDescent="0.3">
      <c r="A138" s="1" t="s">
        <v>369</v>
      </c>
      <c r="B138" t="s">
        <v>1053</v>
      </c>
      <c r="C138" t="s">
        <v>370</v>
      </c>
      <c r="E138" t="str">
        <f t="shared" si="5"/>
        <v>台中市</v>
      </c>
      <c r="F138" t="str">
        <f t="shared" si="4"/>
        <v>梧棲區</v>
      </c>
      <c r="G138" s="3" t="s">
        <v>1238</v>
      </c>
    </row>
    <row r="139" spans="1:7" x14ac:dyDescent="0.3">
      <c r="A139" s="1" t="s">
        <v>371</v>
      </c>
      <c r="B139" t="s">
        <v>1054</v>
      </c>
      <c r="C139" t="s">
        <v>372</v>
      </c>
      <c r="E139" t="str">
        <f t="shared" si="5"/>
        <v>台中市</v>
      </c>
      <c r="F139" t="str">
        <f t="shared" si="4"/>
        <v>清水區</v>
      </c>
      <c r="G139" s="3" t="s">
        <v>1239</v>
      </c>
    </row>
    <row r="140" spans="1:7" x14ac:dyDescent="0.3">
      <c r="A140" s="1" t="s">
        <v>373</v>
      </c>
      <c r="B140" t="s">
        <v>1055</v>
      </c>
      <c r="C140" t="s">
        <v>374</v>
      </c>
      <c r="E140" t="str">
        <f t="shared" si="5"/>
        <v>台中市</v>
      </c>
      <c r="F140" t="str">
        <f t="shared" si="4"/>
        <v>大甲區</v>
      </c>
      <c r="G140" s="3" t="s">
        <v>1240</v>
      </c>
    </row>
    <row r="141" spans="1:7" x14ac:dyDescent="0.3">
      <c r="A141" s="1" t="s">
        <v>375</v>
      </c>
      <c r="B141" t="s">
        <v>1056</v>
      </c>
      <c r="C141" t="s">
        <v>376</v>
      </c>
      <c r="E141" t="str">
        <f t="shared" si="5"/>
        <v>台中市</v>
      </c>
      <c r="F141" t="str">
        <f t="shared" si="4"/>
        <v>外埔區</v>
      </c>
      <c r="G141" s="3" t="s">
        <v>1241</v>
      </c>
    </row>
    <row r="142" spans="1:7" x14ac:dyDescent="0.3">
      <c r="A142" s="1" t="s">
        <v>377</v>
      </c>
      <c r="B142" t="s">
        <v>1057</v>
      </c>
      <c r="C142" t="s">
        <v>378</v>
      </c>
      <c r="E142" t="str">
        <f t="shared" si="5"/>
        <v>台中市</v>
      </c>
      <c r="F142" t="str">
        <f t="shared" si="4"/>
        <v>大安區</v>
      </c>
      <c r="G142" s="3" t="s">
        <v>1242</v>
      </c>
    </row>
    <row r="143" spans="1:7" x14ac:dyDescent="0.3">
      <c r="A143" s="1" t="s">
        <v>379</v>
      </c>
      <c r="B143" t="s">
        <v>380</v>
      </c>
      <c r="C143" t="s">
        <v>381</v>
      </c>
      <c r="E143" t="str">
        <f t="shared" si="5"/>
        <v>彰化縣</v>
      </c>
      <c r="F143" t="str">
        <f t="shared" si="4"/>
        <v>彰化市</v>
      </c>
      <c r="G143" s="3" t="s">
        <v>1243</v>
      </c>
    </row>
    <row r="144" spans="1:7" x14ac:dyDescent="0.3">
      <c r="A144" s="1" t="s">
        <v>382</v>
      </c>
      <c r="B144" t="s">
        <v>383</v>
      </c>
      <c r="C144" t="s">
        <v>384</v>
      </c>
      <c r="E144" t="str">
        <f t="shared" si="5"/>
        <v>彰化縣</v>
      </c>
      <c r="F144" t="str">
        <f t="shared" si="4"/>
        <v>芬園鄉</v>
      </c>
      <c r="G144" s="3" t="s">
        <v>1244</v>
      </c>
    </row>
    <row r="145" spans="1:7" x14ac:dyDescent="0.3">
      <c r="A145" s="1" t="s">
        <v>385</v>
      </c>
      <c r="B145" t="s">
        <v>386</v>
      </c>
      <c r="C145" t="s">
        <v>387</v>
      </c>
      <c r="E145" t="str">
        <f t="shared" si="5"/>
        <v>彰化縣</v>
      </c>
      <c r="F145" t="str">
        <f t="shared" si="4"/>
        <v>花壇鄉</v>
      </c>
      <c r="G145" s="3" t="s">
        <v>1245</v>
      </c>
    </row>
    <row r="146" spans="1:7" x14ac:dyDescent="0.3">
      <c r="A146" s="1" t="s">
        <v>388</v>
      </c>
      <c r="B146" t="s">
        <v>389</v>
      </c>
      <c r="C146" t="s">
        <v>390</v>
      </c>
      <c r="E146" t="str">
        <f t="shared" si="5"/>
        <v>彰化縣</v>
      </c>
      <c r="F146" t="str">
        <f t="shared" si="4"/>
        <v>秀水鄉</v>
      </c>
      <c r="G146" s="3" t="s">
        <v>1246</v>
      </c>
    </row>
    <row r="147" spans="1:7" x14ac:dyDescent="0.3">
      <c r="A147" s="1" t="s">
        <v>391</v>
      </c>
      <c r="B147" t="s">
        <v>392</v>
      </c>
      <c r="C147" t="s">
        <v>393</v>
      </c>
      <c r="E147" t="str">
        <f t="shared" si="5"/>
        <v>彰化縣</v>
      </c>
      <c r="F147" t="str">
        <f t="shared" si="4"/>
        <v>鹿港鎮</v>
      </c>
      <c r="G147" s="3" t="s">
        <v>1247</v>
      </c>
    </row>
    <row r="148" spans="1:7" x14ac:dyDescent="0.3">
      <c r="A148" s="1" t="s">
        <v>394</v>
      </c>
      <c r="B148" t="s">
        <v>395</v>
      </c>
      <c r="C148" t="s">
        <v>396</v>
      </c>
      <c r="E148" t="str">
        <f t="shared" si="5"/>
        <v>彰化縣</v>
      </c>
      <c r="F148" t="str">
        <f t="shared" si="4"/>
        <v>福興鄉</v>
      </c>
      <c r="G148" s="3" t="s">
        <v>1248</v>
      </c>
    </row>
    <row r="149" spans="1:7" x14ac:dyDescent="0.3">
      <c r="A149" s="1" t="s">
        <v>397</v>
      </c>
      <c r="B149" t="s">
        <v>398</v>
      </c>
      <c r="C149" t="s">
        <v>399</v>
      </c>
      <c r="E149" t="str">
        <f t="shared" si="5"/>
        <v>彰化縣</v>
      </c>
      <c r="F149" t="str">
        <f t="shared" si="4"/>
        <v>線西鄉</v>
      </c>
      <c r="G149" s="3" t="s">
        <v>1249</v>
      </c>
    </row>
    <row r="150" spans="1:7" x14ac:dyDescent="0.3">
      <c r="A150" s="1" t="s">
        <v>400</v>
      </c>
      <c r="B150" t="s">
        <v>401</v>
      </c>
      <c r="C150" t="s">
        <v>402</v>
      </c>
      <c r="E150" t="str">
        <f t="shared" si="5"/>
        <v>彰化縣</v>
      </c>
      <c r="F150" t="str">
        <f t="shared" si="4"/>
        <v>和美鎮</v>
      </c>
      <c r="G150" s="3" t="s">
        <v>1250</v>
      </c>
    </row>
    <row r="151" spans="1:7" x14ac:dyDescent="0.3">
      <c r="A151" s="1" t="s">
        <v>403</v>
      </c>
      <c r="B151" t="s">
        <v>404</v>
      </c>
      <c r="C151" t="s">
        <v>405</v>
      </c>
      <c r="E151" t="str">
        <f t="shared" si="5"/>
        <v>彰化縣</v>
      </c>
      <c r="F151" t="str">
        <f t="shared" ref="F151:F181" si="6">RIGHT(B151,3)</f>
        <v>伸港鄉</v>
      </c>
      <c r="G151" s="3" t="s">
        <v>1251</v>
      </c>
    </row>
    <row r="152" spans="1:7" x14ac:dyDescent="0.3">
      <c r="A152" s="1" t="s">
        <v>406</v>
      </c>
      <c r="B152" t="s">
        <v>407</v>
      </c>
      <c r="C152" t="s">
        <v>408</v>
      </c>
      <c r="E152" t="str">
        <f t="shared" si="5"/>
        <v>彰化縣</v>
      </c>
      <c r="F152" t="str">
        <f t="shared" si="6"/>
        <v>員林市</v>
      </c>
      <c r="G152" s="3" t="s">
        <v>1252</v>
      </c>
    </row>
    <row r="153" spans="1:7" x14ac:dyDescent="0.3">
      <c r="A153" s="1" t="s">
        <v>409</v>
      </c>
      <c r="B153" t="s">
        <v>410</v>
      </c>
      <c r="C153" t="s">
        <v>411</v>
      </c>
      <c r="E153" t="str">
        <f t="shared" si="5"/>
        <v>彰化縣</v>
      </c>
      <c r="F153" t="str">
        <f t="shared" si="6"/>
        <v>社頭鄉</v>
      </c>
      <c r="G153" s="3" t="s">
        <v>1253</v>
      </c>
    </row>
    <row r="154" spans="1:7" x14ac:dyDescent="0.3">
      <c r="A154" s="1" t="s">
        <v>412</v>
      </c>
      <c r="B154" t="s">
        <v>413</v>
      </c>
      <c r="C154" t="s">
        <v>414</v>
      </c>
      <c r="E154" t="str">
        <f t="shared" si="5"/>
        <v>彰化縣</v>
      </c>
      <c r="F154" t="str">
        <f t="shared" si="6"/>
        <v>永靖鄉</v>
      </c>
      <c r="G154" s="3" t="s">
        <v>1254</v>
      </c>
    </row>
    <row r="155" spans="1:7" x14ac:dyDescent="0.3">
      <c r="A155" s="1" t="s">
        <v>415</v>
      </c>
      <c r="B155" t="s">
        <v>416</v>
      </c>
      <c r="C155" t="s">
        <v>417</v>
      </c>
      <c r="E155" t="str">
        <f t="shared" si="5"/>
        <v>彰化縣</v>
      </c>
      <c r="F155" t="str">
        <f t="shared" si="6"/>
        <v>埔心鄉</v>
      </c>
      <c r="G155" s="3" t="s">
        <v>1255</v>
      </c>
    </row>
    <row r="156" spans="1:7" x14ac:dyDescent="0.3">
      <c r="A156" s="1" t="s">
        <v>418</v>
      </c>
      <c r="B156" t="s">
        <v>419</v>
      </c>
      <c r="C156" t="s">
        <v>420</v>
      </c>
      <c r="E156" t="str">
        <f t="shared" si="5"/>
        <v>彰化縣</v>
      </c>
      <c r="F156" t="str">
        <f t="shared" si="6"/>
        <v>溪湖鎮</v>
      </c>
      <c r="G156" s="3" t="s">
        <v>1256</v>
      </c>
    </row>
    <row r="157" spans="1:7" x14ac:dyDescent="0.3">
      <c r="A157" s="1" t="s">
        <v>421</v>
      </c>
      <c r="B157" t="s">
        <v>422</v>
      </c>
      <c r="C157" t="s">
        <v>423</v>
      </c>
      <c r="E157" t="str">
        <f t="shared" si="5"/>
        <v>彰化縣</v>
      </c>
      <c r="F157" t="str">
        <f t="shared" si="6"/>
        <v>大村鄉</v>
      </c>
      <c r="G157" s="3" t="s">
        <v>1257</v>
      </c>
    </row>
    <row r="158" spans="1:7" x14ac:dyDescent="0.3">
      <c r="A158" s="1" t="s">
        <v>424</v>
      </c>
      <c r="B158" t="s">
        <v>425</v>
      </c>
      <c r="C158" t="s">
        <v>426</v>
      </c>
      <c r="E158" t="str">
        <f t="shared" si="5"/>
        <v>彰化縣</v>
      </c>
      <c r="F158" t="str">
        <f t="shared" si="6"/>
        <v>埔鹽鄉</v>
      </c>
      <c r="G158" s="3" t="s">
        <v>1258</v>
      </c>
    </row>
    <row r="159" spans="1:7" x14ac:dyDescent="0.3">
      <c r="A159" s="1" t="s">
        <v>427</v>
      </c>
      <c r="B159" t="s">
        <v>428</v>
      </c>
      <c r="C159" t="s">
        <v>429</v>
      </c>
      <c r="E159" t="str">
        <f t="shared" si="5"/>
        <v>彰化縣</v>
      </c>
      <c r="F159" t="str">
        <f t="shared" si="6"/>
        <v>田中鎮</v>
      </c>
      <c r="G159" s="3" t="s">
        <v>1259</v>
      </c>
    </row>
    <row r="160" spans="1:7" x14ac:dyDescent="0.3">
      <c r="A160" s="1" t="s">
        <v>430</v>
      </c>
      <c r="B160" t="s">
        <v>431</v>
      </c>
      <c r="C160" t="s">
        <v>432</v>
      </c>
      <c r="E160" t="str">
        <f t="shared" si="5"/>
        <v>彰化縣</v>
      </c>
      <c r="F160" t="str">
        <f t="shared" si="6"/>
        <v>北斗鎮</v>
      </c>
      <c r="G160" s="3" t="s">
        <v>1260</v>
      </c>
    </row>
    <row r="161" spans="1:7" x14ac:dyDescent="0.3">
      <c r="A161" s="1" t="s">
        <v>433</v>
      </c>
      <c r="B161" t="s">
        <v>434</v>
      </c>
      <c r="C161" t="s">
        <v>435</v>
      </c>
      <c r="E161" t="str">
        <f t="shared" si="5"/>
        <v>彰化縣</v>
      </c>
      <c r="F161" t="str">
        <f t="shared" si="6"/>
        <v>田尾鄉</v>
      </c>
      <c r="G161" s="3" t="s">
        <v>1261</v>
      </c>
    </row>
    <row r="162" spans="1:7" x14ac:dyDescent="0.3">
      <c r="A162" s="1" t="s">
        <v>436</v>
      </c>
      <c r="B162" t="s">
        <v>437</v>
      </c>
      <c r="C162" t="s">
        <v>438</v>
      </c>
      <c r="E162" t="str">
        <f t="shared" si="5"/>
        <v>彰化縣</v>
      </c>
      <c r="F162" t="str">
        <f t="shared" si="6"/>
        <v>埤頭鄉</v>
      </c>
      <c r="G162" s="3" t="s">
        <v>1262</v>
      </c>
    </row>
    <row r="163" spans="1:7" x14ac:dyDescent="0.3">
      <c r="A163" s="1" t="s">
        <v>439</v>
      </c>
      <c r="B163" t="s">
        <v>440</v>
      </c>
      <c r="C163" t="s">
        <v>441</v>
      </c>
      <c r="E163" t="str">
        <f t="shared" si="5"/>
        <v>彰化縣</v>
      </c>
      <c r="F163" t="str">
        <f t="shared" si="6"/>
        <v>溪州鄉</v>
      </c>
      <c r="G163" s="3" t="s">
        <v>1263</v>
      </c>
    </row>
    <row r="164" spans="1:7" x14ac:dyDescent="0.3">
      <c r="A164" s="1" t="s">
        <v>442</v>
      </c>
      <c r="B164" t="s">
        <v>443</v>
      </c>
      <c r="C164" t="s">
        <v>444</v>
      </c>
      <c r="E164" t="str">
        <f t="shared" si="5"/>
        <v>彰化縣</v>
      </c>
      <c r="F164" t="str">
        <f t="shared" si="6"/>
        <v>竹塘鄉</v>
      </c>
      <c r="G164" s="3" t="s">
        <v>1264</v>
      </c>
    </row>
    <row r="165" spans="1:7" x14ac:dyDescent="0.3">
      <c r="A165" s="1" t="s">
        <v>445</v>
      </c>
      <c r="B165" t="s">
        <v>446</v>
      </c>
      <c r="C165" t="s">
        <v>447</v>
      </c>
      <c r="E165" t="str">
        <f t="shared" si="5"/>
        <v>彰化縣</v>
      </c>
      <c r="F165" t="str">
        <f t="shared" si="6"/>
        <v>二林鎮</v>
      </c>
      <c r="G165" s="3" t="s">
        <v>1265</v>
      </c>
    </row>
    <row r="166" spans="1:7" x14ac:dyDescent="0.3">
      <c r="A166" s="1" t="s">
        <v>448</v>
      </c>
      <c r="B166" t="s">
        <v>449</v>
      </c>
      <c r="C166" t="s">
        <v>450</v>
      </c>
      <c r="E166" t="str">
        <f t="shared" si="5"/>
        <v>彰化縣</v>
      </c>
      <c r="F166" t="str">
        <f t="shared" si="6"/>
        <v>大城鄉</v>
      </c>
      <c r="G166" s="3" t="s">
        <v>1266</v>
      </c>
    </row>
    <row r="167" spans="1:7" x14ac:dyDescent="0.3">
      <c r="A167" s="1" t="s">
        <v>451</v>
      </c>
      <c r="B167" t="s">
        <v>452</v>
      </c>
      <c r="C167" t="s">
        <v>453</v>
      </c>
      <c r="E167" t="str">
        <f t="shared" si="5"/>
        <v>彰化縣</v>
      </c>
      <c r="F167" t="str">
        <f t="shared" si="6"/>
        <v>芳苑鄉</v>
      </c>
      <c r="G167" s="3" t="s">
        <v>1267</v>
      </c>
    </row>
    <row r="168" spans="1:7" x14ac:dyDescent="0.3">
      <c r="A168" s="1" t="s">
        <v>454</v>
      </c>
      <c r="B168" t="s">
        <v>455</v>
      </c>
      <c r="C168" t="s">
        <v>456</v>
      </c>
      <c r="E168" t="str">
        <f t="shared" si="5"/>
        <v>彰化縣</v>
      </c>
      <c r="F168" t="str">
        <f t="shared" si="6"/>
        <v>二水鄉</v>
      </c>
      <c r="G168" s="3" t="s">
        <v>1268</v>
      </c>
    </row>
    <row r="169" spans="1:7" x14ac:dyDescent="0.3">
      <c r="A169" s="1" t="s">
        <v>457</v>
      </c>
      <c r="B169" t="s">
        <v>458</v>
      </c>
      <c r="C169" t="s">
        <v>459</v>
      </c>
      <c r="E169" t="str">
        <f t="shared" si="5"/>
        <v>南投縣</v>
      </c>
      <c r="F169" t="str">
        <f t="shared" si="6"/>
        <v>南投市</v>
      </c>
      <c r="G169" s="3" t="s">
        <v>1269</v>
      </c>
    </row>
    <row r="170" spans="1:7" x14ac:dyDescent="0.3">
      <c r="A170" s="1" t="s">
        <v>460</v>
      </c>
      <c r="B170" t="s">
        <v>461</v>
      </c>
      <c r="C170" t="s">
        <v>462</v>
      </c>
      <c r="E170" t="str">
        <f t="shared" si="5"/>
        <v>南投縣</v>
      </c>
      <c r="F170" t="str">
        <f t="shared" si="6"/>
        <v>中寮鄉</v>
      </c>
      <c r="G170" s="3" t="s">
        <v>1270</v>
      </c>
    </row>
    <row r="171" spans="1:7" x14ac:dyDescent="0.3">
      <c r="A171" s="1" t="s">
        <v>463</v>
      </c>
      <c r="B171" t="s">
        <v>464</v>
      </c>
      <c r="C171" t="s">
        <v>465</v>
      </c>
      <c r="E171" t="str">
        <f t="shared" si="5"/>
        <v>南投縣</v>
      </c>
      <c r="F171" t="str">
        <f t="shared" si="6"/>
        <v>草屯鎮</v>
      </c>
      <c r="G171" s="3" t="s">
        <v>1271</v>
      </c>
    </row>
    <row r="172" spans="1:7" x14ac:dyDescent="0.3">
      <c r="A172" s="1" t="s">
        <v>466</v>
      </c>
      <c r="B172" t="s">
        <v>467</v>
      </c>
      <c r="C172" t="s">
        <v>468</v>
      </c>
      <c r="E172" t="str">
        <f t="shared" si="5"/>
        <v>南投縣</v>
      </c>
      <c r="F172" t="str">
        <f t="shared" si="6"/>
        <v>國姓鄉</v>
      </c>
      <c r="G172" s="3" t="s">
        <v>1272</v>
      </c>
    </row>
    <row r="173" spans="1:7" x14ac:dyDescent="0.3">
      <c r="A173" s="1" t="s">
        <v>469</v>
      </c>
      <c r="B173" t="s">
        <v>470</v>
      </c>
      <c r="C173" t="s">
        <v>471</v>
      </c>
      <c r="E173" t="str">
        <f t="shared" si="5"/>
        <v>南投縣</v>
      </c>
      <c r="F173" t="str">
        <f t="shared" si="6"/>
        <v>埔里鎮</v>
      </c>
      <c r="G173" s="3" t="s">
        <v>1273</v>
      </c>
    </row>
    <row r="174" spans="1:7" x14ac:dyDescent="0.3">
      <c r="A174" s="1" t="s">
        <v>472</v>
      </c>
      <c r="B174" t="s">
        <v>473</v>
      </c>
      <c r="C174" t="s">
        <v>474</v>
      </c>
      <c r="E174" t="str">
        <f t="shared" si="5"/>
        <v>南投縣</v>
      </c>
      <c r="F174" t="str">
        <f t="shared" si="6"/>
        <v>仁愛鄉</v>
      </c>
      <c r="G174" s="3" t="s">
        <v>1274</v>
      </c>
    </row>
    <row r="175" spans="1:7" x14ac:dyDescent="0.3">
      <c r="A175" s="1" t="s">
        <v>475</v>
      </c>
      <c r="B175" t="s">
        <v>476</v>
      </c>
      <c r="C175" t="s">
        <v>477</v>
      </c>
      <c r="E175" t="str">
        <f t="shared" si="5"/>
        <v>南投縣</v>
      </c>
      <c r="F175" t="str">
        <f t="shared" si="6"/>
        <v>名間鄉</v>
      </c>
      <c r="G175" s="3" t="s">
        <v>1275</v>
      </c>
    </row>
    <row r="176" spans="1:7" x14ac:dyDescent="0.3">
      <c r="A176" s="1" t="s">
        <v>478</v>
      </c>
      <c r="B176" t="s">
        <v>479</v>
      </c>
      <c r="C176" t="s">
        <v>480</v>
      </c>
      <c r="E176" t="str">
        <f t="shared" si="5"/>
        <v>南投縣</v>
      </c>
      <c r="F176" t="str">
        <f t="shared" si="6"/>
        <v>集集鎮</v>
      </c>
      <c r="G176" s="3" t="s">
        <v>1276</v>
      </c>
    </row>
    <row r="177" spans="1:7" x14ac:dyDescent="0.3">
      <c r="A177" s="1" t="s">
        <v>481</v>
      </c>
      <c r="B177" t="s">
        <v>482</v>
      </c>
      <c r="C177" t="s">
        <v>483</v>
      </c>
      <c r="E177" t="str">
        <f t="shared" si="5"/>
        <v>南投縣</v>
      </c>
      <c r="F177" t="str">
        <f t="shared" si="6"/>
        <v>水里鄉</v>
      </c>
      <c r="G177" s="3" t="s">
        <v>1277</v>
      </c>
    </row>
    <row r="178" spans="1:7" x14ac:dyDescent="0.3">
      <c r="A178" s="1" t="s">
        <v>484</v>
      </c>
      <c r="B178" t="s">
        <v>485</v>
      </c>
      <c r="C178" t="s">
        <v>486</v>
      </c>
      <c r="E178" t="str">
        <f t="shared" si="5"/>
        <v>南投縣</v>
      </c>
      <c r="F178" t="str">
        <f t="shared" si="6"/>
        <v>魚池鄉</v>
      </c>
      <c r="G178" s="3" t="s">
        <v>1278</v>
      </c>
    </row>
    <row r="179" spans="1:7" x14ac:dyDescent="0.3">
      <c r="A179" s="1" t="s">
        <v>487</v>
      </c>
      <c r="B179" t="s">
        <v>488</v>
      </c>
      <c r="C179" t="s">
        <v>489</v>
      </c>
      <c r="E179" t="str">
        <f t="shared" si="5"/>
        <v>南投縣</v>
      </c>
      <c r="F179" t="str">
        <f t="shared" si="6"/>
        <v>信義鄉</v>
      </c>
      <c r="G179" s="3" t="s">
        <v>1279</v>
      </c>
    </row>
    <row r="180" spans="1:7" x14ac:dyDescent="0.3">
      <c r="A180" s="1" t="s">
        <v>490</v>
      </c>
      <c r="B180" t="s">
        <v>491</v>
      </c>
      <c r="C180" t="s">
        <v>492</v>
      </c>
      <c r="E180" t="str">
        <f t="shared" si="5"/>
        <v>南投縣</v>
      </c>
      <c r="F180" t="str">
        <f t="shared" si="6"/>
        <v>竹山鎮</v>
      </c>
      <c r="G180" s="3" t="s">
        <v>1280</v>
      </c>
    </row>
    <row r="181" spans="1:7" x14ac:dyDescent="0.3">
      <c r="A181" s="1" t="s">
        <v>493</v>
      </c>
      <c r="B181" t="s">
        <v>494</v>
      </c>
      <c r="C181" t="s">
        <v>495</v>
      </c>
      <c r="E181" t="str">
        <f t="shared" si="5"/>
        <v>南投縣</v>
      </c>
      <c r="F181" t="str">
        <f t="shared" si="6"/>
        <v>鹿谷鄉</v>
      </c>
      <c r="G181" s="3" t="s">
        <v>1281</v>
      </c>
    </row>
    <row r="182" spans="1:7" x14ac:dyDescent="0.3">
      <c r="A182" s="1" t="s">
        <v>496</v>
      </c>
      <c r="B182" t="s">
        <v>497</v>
      </c>
      <c r="C182" t="s">
        <v>498</v>
      </c>
      <c r="E182" t="str">
        <f t="shared" si="5"/>
        <v>嘉義市</v>
      </c>
      <c r="F182" t="str">
        <f>RIGHT(B182,2)</f>
        <v>東區</v>
      </c>
      <c r="G182" s="3" t="s">
        <v>1282</v>
      </c>
    </row>
    <row r="183" spans="1:7" x14ac:dyDescent="0.3">
      <c r="A183" s="1" t="s">
        <v>496</v>
      </c>
      <c r="B183" t="s">
        <v>499</v>
      </c>
      <c r="C183" t="s">
        <v>500</v>
      </c>
      <c r="E183" t="str">
        <f t="shared" si="5"/>
        <v>嘉義市</v>
      </c>
      <c r="F183" t="str">
        <f>RIGHT(B183,2)</f>
        <v>西區</v>
      </c>
      <c r="G183" s="3" t="s">
        <v>1283</v>
      </c>
    </row>
    <row r="184" spans="1:7" x14ac:dyDescent="0.3">
      <c r="A184" s="1" t="s">
        <v>501</v>
      </c>
      <c r="B184" t="s">
        <v>502</v>
      </c>
      <c r="C184" t="s">
        <v>503</v>
      </c>
      <c r="E184" t="str">
        <f t="shared" si="5"/>
        <v>嘉義縣</v>
      </c>
      <c r="F184" t="str">
        <f>RIGHT(B184,3)</f>
        <v>番路鄉</v>
      </c>
      <c r="G184" s="3" t="s">
        <v>1284</v>
      </c>
    </row>
    <row r="185" spans="1:7" x14ac:dyDescent="0.3">
      <c r="A185" s="1" t="s">
        <v>504</v>
      </c>
      <c r="B185" t="s">
        <v>505</v>
      </c>
      <c r="C185" t="s">
        <v>506</v>
      </c>
      <c r="E185" t="str">
        <f t="shared" si="5"/>
        <v>嘉義縣</v>
      </c>
      <c r="F185" t="str">
        <f>RIGHT(B185,3)</f>
        <v>梅山鄉</v>
      </c>
      <c r="G185" s="3" t="s">
        <v>1285</v>
      </c>
    </row>
    <row r="186" spans="1:7" x14ac:dyDescent="0.3">
      <c r="A186" s="1" t="s">
        <v>507</v>
      </c>
      <c r="B186" t="s">
        <v>508</v>
      </c>
      <c r="C186" t="s">
        <v>509</v>
      </c>
      <c r="E186" t="str">
        <f t="shared" si="5"/>
        <v>嘉義縣</v>
      </c>
      <c r="F186" t="str">
        <f>RIGHT(B186,3)</f>
        <v>竹崎鄉</v>
      </c>
      <c r="G186" s="3" t="s">
        <v>1286</v>
      </c>
    </row>
    <row r="187" spans="1:7" x14ac:dyDescent="0.3">
      <c r="A187" s="1" t="s">
        <v>510</v>
      </c>
      <c r="B187" t="s">
        <v>511</v>
      </c>
      <c r="C187" t="s">
        <v>512</v>
      </c>
      <c r="E187" t="str">
        <f t="shared" si="5"/>
        <v>嘉義縣</v>
      </c>
      <c r="F187" t="str">
        <f>RIGHT(B187,4)</f>
        <v>阿里山鄉</v>
      </c>
      <c r="G187" s="3" t="s">
        <v>1287</v>
      </c>
    </row>
    <row r="188" spans="1:7" x14ac:dyDescent="0.3">
      <c r="A188" s="1" t="s">
        <v>513</v>
      </c>
      <c r="B188" t="s">
        <v>514</v>
      </c>
      <c r="C188" t="s">
        <v>515</v>
      </c>
      <c r="E188" t="str">
        <f t="shared" si="5"/>
        <v>嘉義縣</v>
      </c>
      <c r="F188" t="str">
        <f t="shared" ref="F188:F222" si="7">RIGHT(B188,3)</f>
        <v>中埔鄉</v>
      </c>
      <c r="G188" s="3" t="s">
        <v>1288</v>
      </c>
    </row>
    <row r="189" spans="1:7" x14ac:dyDescent="0.3">
      <c r="A189" s="1" t="s">
        <v>516</v>
      </c>
      <c r="B189" t="s">
        <v>517</v>
      </c>
      <c r="C189" t="s">
        <v>518</v>
      </c>
      <c r="E189" t="str">
        <f t="shared" si="5"/>
        <v>嘉義縣</v>
      </c>
      <c r="F189" t="str">
        <f t="shared" si="7"/>
        <v>大埔鄉</v>
      </c>
      <c r="G189" s="3" t="s">
        <v>1289</v>
      </c>
    </row>
    <row r="190" spans="1:7" x14ac:dyDescent="0.3">
      <c r="A190" s="1" t="s">
        <v>519</v>
      </c>
      <c r="B190" t="s">
        <v>520</v>
      </c>
      <c r="C190" t="s">
        <v>521</v>
      </c>
      <c r="E190" t="str">
        <f t="shared" si="5"/>
        <v>嘉義縣</v>
      </c>
      <c r="F190" t="str">
        <f t="shared" si="7"/>
        <v>水上鄉</v>
      </c>
      <c r="G190" s="3" t="s">
        <v>1290</v>
      </c>
    </row>
    <row r="191" spans="1:7" x14ac:dyDescent="0.3">
      <c r="A191" s="1" t="s">
        <v>522</v>
      </c>
      <c r="B191" t="s">
        <v>523</v>
      </c>
      <c r="C191" t="s">
        <v>524</v>
      </c>
      <c r="E191" t="str">
        <f t="shared" si="5"/>
        <v>嘉義縣</v>
      </c>
      <c r="F191" t="str">
        <f t="shared" si="7"/>
        <v>鹿草鄉</v>
      </c>
      <c r="G191" s="3" t="s">
        <v>1291</v>
      </c>
    </row>
    <row r="192" spans="1:7" x14ac:dyDescent="0.3">
      <c r="A192" s="1" t="s">
        <v>525</v>
      </c>
      <c r="B192" t="s">
        <v>526</v>
      </c>
      <c r="C192" t="s">
        <v>527</v>
      </c>
      <c r="E192" t="str">
        <f t="shared" si="5"/>
        <v>嘉義縣</v>
      </c>
      <c r="F192" t="str">
        <f t="shared" si="7"/>
        <v>太保市</v>
      </c>
      <c r="G192" s="3" t="s">
        <v>1292</v>
      </c>
    </row>
    <row r="193" spans="1:7" x14ac:dyDescent="0.3">
      <c r="A193" s="1" t="s">
        <v>528</v>
      </c>
      <c r="B193" t="s">
        <v>529</v>
      </c>
      <c r="C193" t="s">
        <v>530</v>
      </c>
      <c r="E193" t="str">
        <f t="shared" si="5"/>
        <v>嘉義縣</v>
      </c>
      <c r="F193" t="str">
        <f t="shared" si="7"/>
        <v>朴子市</v>
      </c>
      <c r="G193" s="3" t="s">
        <v>1293</v>
      </c>
    </row>
    <row r="194" spans="1:7" x14ac:dyDescent="0.3">
      <c r="A194" s="1" t="s">
        <v>531</v>
      </c>
      <c r="B194" t="s">
        <v>532</v>
      </c>
      <c r="C194" t="s">
        <v>533</v>
      </c>
      <c r="E194" t="str">
        <f t="shared" si="5"/>
        <v>嘉義縣</v>
      </c>
      <c r="F194" t="str">
        <f t="shared" si="7"/>
        <v>東石鄉</v>
      </c>
      <c r="G194" s="3" t="s">
        <v>1294</v>
      </c>
    </row>
    <row r="195" spans="1:7" x14ac:dyDescent="0.3">
      <c r="A195" s="1" t="s">
        <v>534</v>
      </c>
      <c r="B195" t="s">
        <v>535</v>
      </c>
      <c r="C195" t="s">
        <v>536</v>
      </c>
      <c r="E195" t="str">
        <f t="shared" ref="E195:E258" si="8">LEFT(B195,3)</f>
        <v>嘉義縣</v>
      </c>
      <c r="F195" t="str">
        <f t="shared" si="7"/>
        <v>六腳鄉</v>
      </c>
      <c r="G195" s="3" t="s">
        <v>1295</v>
      </c>
    </row>
    <row r="196" spans="1:7" x14ac:dyDescent="0.3">
      <c r="A196" s="1" t="s">
        <v>537</v>
      </c>
      <c r="B196" t="s">
        <v>538</v>
      </c>
      <c r="C196" t="s">
        <v>539</v>
      </c>
      <c r="E196" t="str">
        <f t="shared" si="8"/>
        <v>嘉義縣</v>
      </c>
      <c r="F196" t="str">
        <f t="shared" si="7"/>
        <v>新港鄉</v>
      </c>
      <c r="G196" s="3" t="s">
        <v>1296</v>
      </c>
    </row>
    <row r="197" spans="1:7" x14ac:dyDescent="0.3">
      <c r="A197" s="1" t="s">
        <v>540</v>
      </c>
      <c r="B197" t="s">
        <v>541</v>
      </c>
      <c r="C197" t="s">
        <v>542</v>
      </c>
      <c r="E197" t="str">
        <f t="shared" si="8"/>
        <v>嘉義縣</v>
      </c>
      <c r="F197" t="str">
        <f t="shared" si="7"/>
        <v>民雄鄉</v>
      </c>
      <c r="G197" s="3" t="s">
        <v>1297</v>
      </c>
    </row>
    <row r="198" spans="1:7" x14ac:dyDescent="0.3">
      <c r="A198" s="1" t="s">
        <v>543</v>
      </c>
      <c r="B198" t="s">
        <v>544</v>
      </c>
      <c r="C198" t="s">
        <v>545</v>
      </c>
      <c r="E198" t="str">
        <f t="shared" si="8"/>
        <v>嘉義縣</v>
      </c>
      <c r="F198" t="str">
        <f t="shared" si="7"/>
        <v>大林鎮</v>
      </c>
      <c r="G198" s="3" t="s">
        <v>1298</v>
      </c>
    </row>
    <row r="199" spans="1:7" x14ac:dyDescent="0.3">
      <c r="A199" s="1" t="s">
        <v>546</v>
      </c>
      <c r="B199" t="s">
        <v>547</v>
      </c>
      <c r="C199" t="s">
        <v>548</v>
      </c>
      <c r="E199" t="str">
        <f t="shared" si="8"/>
        <v>嘉義縣</v>
      </c>
      <c r="F199" t="str">
        <f t="shared" si="7"/>
        <v>溪口鄉</v>
      </c>
      <c r="G199" s="3" t="s">
        <v>1299</v>
      </c>
    </row>
    <row r="200" spans="1:7" x14ac:dyDescent="0.3">
      <c r="A200" s="1" t="s">
        <v>549</v>
      </c>
      <c r="B200" t="s">
        <v>550</v>
      </c>
      <c r="C200" t="s">
        <v>551</v>
      </c>
      <c r="E200" t="str">
        <f t="shared" si="8"/>
        <v>嘉義縣</v>
      </c>
      <c r="F200" t="str">
        <f t="shared" si="7"/>
        <v>義竹鄉</v>
      </c>
      <c r="G200" s="3" t="s">
        <v>1300</v>
      </c>
    </row>
    <row r="201" spans="1:7" x14ac:dyDescent="0.3">
      <c r="A201" s="1" t="s">
        <v>552</v>
      </c>
      <c r="B201" t="s">
        <v>553</v>
      </c>
      <c r="C201" t="s">
        <v>554</v>
      </c>
      <c r="E201" t="str">
        <f t="shared" si="8"/>
        <v>嘉義縣</v>
      </c>
      <c r="F201" t="str">
        <f t="shared" si="7"/>
        <v>布袋鎮</v>
      </c>
      <c r="G201" s="3" t="s">
        <v>24</v>
      </c>
    </row>
    <row r="202" spans="1:7" x14ac:dyDescent="0.3">
      <c r="A202" s="1" t="s">
        <v>555</v>
      </c>
      <c r="B202" t="s">
        <v>556</v>
      </c>
      <c r="C202" t="s">
        <v>557</v>
      </c>
      <c r="E202" t="str">
        <f t="shared" si="8"/>
        <v>雲林縣</v>
      </c>
      <c r="F202" t="str">
        <f t="shared" si="7"/>
        <v>斗南鎮</v>
      </c>
      <c r="G202" s="3" t="s">
        <v>27</v>
      </c>
    </row>
    <row r="203" spans="1:7" x14ac:dyDescent="0.3">
      <c r="A203" s="1" t="s">
        <v>558</v>
      </c>
      <c r="B203" t="s">
        <v>559</v>
      </c>
      <c r="C203" t="s">
        <v>560</v>
      </c>
      <c r="E203" t="str">
        <f t="shared" si="8"/>
        <v>雲林縣</v>
      </c>
      <c r="F203" t="str">
        <f t="shared" si="7"/>
        <v>大埤鄉</v>
      </c>
      <c r="G203" s="3" t="s">
        <v>30</v>
      </c>
    </row>
    <row r="204" spans="1:7" x14ac:dyDescent="0.3">
      <c r="A204" s="1" t="s">
        <v>561</v>
      </c>
      <c r="B204" t="s">
        <v>562</v>
      </c>
      <c r="C204" t="s">
        <v>563</v>
      </c>
      <c r="E204" t="str">
        <f t="shared" si="8"/>
        <v>雲林縣</v>
      </c>
      <c r="F204" t="str">
        <f t="shared" si="7"/>
        <v>虎尾鎮</v>
      </c>
      <c r="G204" s="3" t="s">
        <v>33</v>
      </c>
    </row>
    <row r="205" spans="1:7" x14ac:dyDescent="0.3">
      <c r="A205" s="1" t="s">
        <v>564</v>
      </c>
      <c r="B205" t="s">
        <v>565</v>
      </c>
      <c r="C205" t="s">
        <v>566</v>
      </c>
      <c r="E205" t="str">
        <f t="shared" si="8"/>
        <v>雲林縣</v>
      </c>
      <c r="F205" t="str">
        <f t="shared" si="7"/>
        <v>土庫鎮</v>
      </c>
      <c r="G205" s="3" t="s">
        <v>36</v>
      </c>
    </row>
    <row r="206" spans="1:7" x14ac:dyDescent="0.3">
      <c r="A206" s="1" t="s">
        <v>567</v>
      </c>
      <c r="B206" t="s">
        <v>568</v>
      </c>
      <c r="C206" t="s">
        <v>569</v>
      </c>
      <c r="E206" t="str">
        <f t="shared" si="8"/>
        <v>雲林縣</v>
      </c>
      <c r="F206" t="str">
        <f t="shared" si="7"/>
        <v>褒忠鄉</v>
      </c>
      <c r="G206" s="3" t="s">
        <v>39</v>
      </c>
    </row>
    <row r="207" spans="1:7" x14ac:dyDescent="0.3">
      <c r="A207" s="1" t="s">
        <v>570</v>
      </c>
      <c r="B207" t="s">
        <v>571</v>
      </c>
      <c r="C207" t="s">
        <v>572</v>
      </c>
      <c r="E207" t="str">
        <f t="shared" si="8"/>
        <v>雲林縣</v>
      </c>
      <c r="F207" t="str">
        <f t="shared" si="7"/>
        <v>東勢鄉</v>
      </c>
      <c r="G207" s="3" t="s">
        <v>42</v>
      </c>
    </row>
    <row r="208" spans="1:7" x14ac:dyDescent="0.3">
      <c r="A208" s="1" t="s">
        <v>573</v>
      </c>
      <c r="B208" t="s">
        <v>1111</v>
      </c>
      <c r="C208" t="s">
        <v>574</v>
      </c>
      <c r="E208" t="str">
        <f t="shared" si="8"/>
        <v>雲林縣</v>
      </c>
      <c r="F208" t="str">
        <f t="shared" si="7"/>
        <v>台西鄉</v>
      </c>
      <c r="G208" s="3" t="s">
        <v>45</v>
      </c>
    </row>
    <row r="209" spans="1:7" x14ac:dyDescent="0.3">
      <c r="A209" s="1" t="s">
        <v>575</v>
      </c>
      <c r="B209" t="s">
        <v>576</v>
      </c>
      <c r="C209" t="s">
        <v>577</v>
      </c>
      <c r="E209" t="str">
        <f t="shared" si="8"/>
        <v>雲林縣</v>
      </c>
      <c r="F209" t="str">
        <f t="shared" si="7"/>
        <v>崙背鄉</v>
      </c>
      <c r="G209" s="3" t="s">
        <v>48</v>
      </c>
    </row>
    <row r="210" spans="1:7" x14ac:dyDescent="0.3">
      <c r="A210" s="1" t="s">
        <v>578</v>
      </c>
      <c r="B210" t="s">
        <v>579</v>
      </c>
      <c r="C210" t="s">
        <v>580</v>
      </c>
      <c r="E210" t="str">
        <f t="shared" si="8"/>
        <v>雲林縣</v>
      </c>
      <c r="F210" t="str">
        <f t="shared" si="7"/>
        <v>麥寮鄉</v>
      </c>
      <c r="G210" s="3" t="s">
        <v>51</v>
      </c>
    </row>
    <row r="211" spans="1:7" x14ac:dyDescent="0.3">
      <c r="A211" s="1" t="s">
        <v>581</v>
      </c>
      <c r="B211" t="s">
        <v>582</v>
      </c>
      <c r="C211" t="s">
        <v>583</v>
      </c>
      <c r="E211" t="str">
        <f t="shared" si="8"/>
        <v>雲林縣</v>
      </c>
      <c r="F211" t="str">
        <f t="shared" si="7"/>
        <v>斗六市</v>
      </c>
      <c r="G211" s="3" t="s">
        <v>54</v>
      </c>
    </row>
    <row r="212" spans="1:7" x14ac:dyDescent="0.3">
      <c r="A212" s="1" t="s">
        <v>584</v>
      </c>
      <c r="B212" t="s">
        <v>585</v>
      </c>
      <c r="C212" t="s">
        <v>586</v>
      </c>
      <c r="E212" t="str">
        <f t="shared" si="8"/>
        <v>雲林縣</v>
      </c>
      <c r="F212" t="str">
        <f t="shared" si="7"/>
        <v>林內鄉</v>
      </c>
      <c r="G212" s="3" t="s">
        <v>57</v>
      </c>
    </row>
    <row r="213" spans="1:7" x14ac:dyDescent="0.3">
      <c r="A213" s="1" t="s">
        <v>587</v>
      </c>
      <c r="B213" t="s">
        <v>588</v>
      </c>
      <c r="C213" t="s">
        <v>589</v>
      </c>
      <c r="E213" t="str">
        <f t="shared" si="8"/>
        <v>雲林縣</v>
      </c>
      <c r="F213" t="str">
        <f t="shared" si="7"/>
        <v>古坑鄉</v>
      </c>
      <c r="G213" s="3" t="s">
        <v>60</v>
      </c>
    </row>
    <row r="214" spans="1:7" x14ac:dyDescent="0.3">
      <c r="A214" s="1" t="s">
        <v>590</v>
      </c>
      <c r="B214" t="s">
        <v>591</v>
      </c>
      <c r="C214" t="s">
        <v>592</v>
      </c>
      <c r="E214" t="str">
        <f t="shared" si="8"/>
        <v>雲林縣</v>
      </c>
      <c r="F214" t="str">
        <f t="shared" si="7"/>
        <v>莿桐鄉</v>
      </c>
      <c r="G214" s="3" t="s">
        <v>1301</v>
      </c>
    </row>
    <row r="215" spans="1:7" x14ac:dyDescent="0.3">
      <c r="A215" s="1" t="s">
        <v>593</v>
      </c>
      <c r="B215" t="s">
        <v>594</v>
      </c>
      <c r="C215" t="s">
        <v>595</v>
      </c>
      <c r="E215" t="str">
        <f t="shared" si="8"/>
        <v>雲林縣</v>
      </c>
      <c r="F215" t="str">
        <f t="shared" si="7"/>
        <v>西螺鎮</v>
      </c>
      <c r="G215" s="3" t="s">
        <v>1302</v>
      </c>
    </row>
    <row r="216" spans="1:7" x14ac:dyDescent="0.3">
      <c r="A216" s="1" t="s">
        <v>596</v>
      </c>
      <c r="B216" t="s">
        <v>597</v>
      </c>
      <c r="C216" t="s">
        <v>598</v>
      </c>
      <c r="E216" t="str">
        <f t="shared" si="8"/>
        <v>雲林縣</v>
      </c>
      <c r="F216" t="str">
        <f t="shared" si="7"/>
        <v>二崙鄉</v>
      </c>
      <c r="G216" s="3" t="s">
        <v>1303</v>
      </c>
    </row>
    <row r="217" spans="1:7" x14ac:dyDescent="0.3">
      <c r="A217" s="1" t="s">
        <v>599</v>
      </c>
      <c r="B217" t="s">
        <v>600</v>
      </c>
      <c r="C217" t="s">
        <v>601</v>
      </c>
      <c r="E217" t="str">
        <f t="shared" si="8"/>
        <v>雲林縣</v>
      </c>
      <c r="F217" t="str">
        <f t="shared" si="7"/>
        <v>北港鎮</v>
      </c>
      <c r="G217" s="3" t="s">
        <v>1304</v>
      </c>
    </row>
    <row r="218" spans="1:7" x14ac:dyDescent="0.3">
      <c r="A218" s="1" t="s">
        <v>602</v>
      </c>
      <c r="B218" t="s">
        <v>603</v>
      </c>
      <c r="C218" t="s">
        <v>604</v>
      </c>
      <c r="E218" t="str">
        <f t="shared" si="8"/>
        <v>雲林縣</v>
      </c>
      <c r="F218" t="str">
        <f t="shared" si="7"/>
        <v>水林鄉</v>
      </c>
      <c r="G218" s="3" t="s">
        <v>1305</v>
      </c>
    </row>
    <row r="219" spans="1:7" x14ac:dyDescent="0.3">
      <c r="A219" s="1" t="s">
        <v>605</v>
      </c>
      <c r="B219" t="s">
        <v>606</v>
      </c>
      <c r="C219" t="s">
        <v>607</v>
      </c>
      <c r="E219" t="str">
        <f t="shared" si="8"/>
        <v>雲林縣</v>
      </c>
      <c r="F219" t="str">
        <f t="shared" si="7"/>
        <v>口湖鄉</v>
      </c>
      <c r="G219" s="3" t="s">
        <v>1306</v>
      </c>
    </row>
    <row r="220" spans="1:7" x14ac:dyDescent="0.3">
      <c r="A220" s="1" t="s">
        <v>608</v>
      </c>
      <c r="B220" t="s">
        <v>609</v>
      </c>
      <c r="C220" t="s">
        <v>610</v>
      </c>
      <c r="E220" t="str">
        <f t="shared" si="8"/>
        <v>雲林縣</v>
      </c>
      <c r="F220" t="str">
        <f t="shared" si="7"/>
        <v>四湖鄉</v>
      </c>
      <c r="G220" s="3" t="s">
        <v>1307</v>
      </c>
    </row>
    <row r="221" spans="1:7" x14ac:dyDescent="0.3">
      <c r="A221" s="1" t="s">
        <v>611</v>
      </c>
      <c r="B221" t="s">
        <v>612</v>
      </c>
      <c r="C221" t="s">
        <v>613</v>
      </c>
      <c r="E221" t="str">
        <f t="shared" si="8"/>
        <v>雲林縣</v>
      </c>
      <c r="F221" t="str">
        <f t="shared" si="7"/>
        <v>元長鄉</v>
      </c>
      <c r="G221" s="3" t="s">
        <v>63</v>
      </c>
    </row>
    <row r="222" spans="1:7" x14ac:dyDescent="0.3">
      <c r="A222" s="1" t="s">
        <v>614</v>
      </c>
      <c r="B222" t="s">
        <v>1058</v>
      </c>
      <c r="C222" t="s">
        <v>615</v>
      </c>
      <c r="E222" t="str">
        <f t="shared" si="8"/>
        <v>台南市</v>
      </c>
      <c r="F222" t="str">
        <f t="shared" si="7"/>
        <v>中西區</v>
      </c>
      <c r="G222" s="3" t="s">
        <v>66</v>
      </c>
    </row>
    <row r="223" spans="1:7" x14ac:dyDescent="0.3">
      <c r="A223" s="1" t="s">
        <v>616</v>
      </c>
      <c r="B223" t="s">
        <v>1059</v>
      </c>
      <c r="C223" t="s">
        <v>617</v>
      </c>
      <c r="E223" t="str">
        <f t="shared" si="8"/>
        <v>台南市</v>
      </c>
      <c r="F223" t="str">
        <f>RIGHT(B223,2)</f>
        <v>東區</v>
      </c>
      <c r="G223" s="3" t="s">
        <v>69</v>
      </c>
    </row>
    <row r="224" spans="1:7" x14ac:dyDescent="0.3">
      <c r="A224" s="1" t="s">
        <v>618</v>
      </c>
      <c r="B224" t="s">
        <v>1060</v>
      </c>
      <c r="C224" t="s">
        <v>619</v>
      </c>
      <c r="E224" t="str">
        <f t="shared" si="8"/>
        <v>台南市</v>
      </c>
      <c r="F224" t="str">
        <f>RIGHT(B224,2)</f>
        <v>南區</v>
      </c>
      <c r="G224" s="3" t="s">
        <v>72</v>
      </c>
    </row>
    <row r="225" spans="1:7" x14ac:dyDescent="0.3">
      <c r="A225" s="1" t="s">
        <v>620</v>
      </c>
      <c r="B225" t="s">
        <v>1061</v>
      </c>
      <c r="C225" t="s">
        <v>621</v>
      </c>
      <c r="E225" t="str">
        <f t="shared" si="8"/>
        <v>台南市</v>
      </c>
      <c r="F225" t="str">
        <f>RIGHT(B225,2)</f>
        <v>北區</v>
      </c>
      <c r="G225" s="3" t="s">
        <v>75</v>
      </c>
    </row>
    <row r="226" spans="1:7" x14ac:dyDescent="0.3">
      <c r="A226" s="1" t="s">
        <v>622</v>
      </c>
      <c r="B226" t="s">
        <v>1062</v>
      </c>
      <c r="C226" t="s">
        <v>623</v>
      </c>
      <c r="E226" t="str">
        <f t="shared" si="8"/>
        <v>台南市</v>
      </c>
      <c r="F226" t="str">
        <f t="shared" ref="F226:F271" si="9">RIGHT(B226,3)</f>
        <v>安平區</v>
      </c>
      <c r="G226" s="3" t="s">
        <v>1308</v>
      </c>
    </row>
    <row r="227" spans="1:7" x14ac:dyDescent="0.3">
      <c r="A227" s="1" t="s">
        <v>624</v>
      </c>
      <c r="B227" t="s">
        <v>1063</v>
      </c>
      <c r="C227" t="s">
        <v>625</v>
      </c>
      <c r="E227" t="str">
        <f t="shared" si="8"/>
        <v>台南市</v>
      </c>
      <c r="F227" t="str">
        <f t="shared" si="9"/>
        <v>安南區</v>
      </c>
      <c r="G227" s="3" t="s">
        <v>78</v>
      </c>
    </row>
    <row r="228" spans="1:7" x14ac:dyDescent="0.3">
      <c r="A228" s="1" t="s">
        <v>626</v>
      </c>
      <c r="B228" t="s">
        <v>1064</v>
      </c>
      <c r="C228" t="s">
        <v>627</v>
      </c>
      <c r="E228" t="str">
        <f t="shared" si="8"/>
        <v>台南市</v>
      </c>
      <c r="F228" t="str">
        <f t="shared" si="9"/>
        <v>永康區</v>
      </c>
      <c r="G228" s="3" t="s">
        <v>81</v>
      </c>
    </row>
    <row r="229" spans="1:7" x14ac:dyDescent="0.3">
      <c r="A229" s="1" t="s">
        <v>628</v>
      </c>
      <c r="B229" t="s">
        <v>1065</v>
      </c>
      <c r="C229" t="s">
        <v>629</v>
      </c>
      <c r="E229" t="str">
        <f t="shared" si="8"/>
        <v>台南市</v>
      </c>
      <c r="F229" t="str">
        <f t="shared" si="9"/>
        <v>歸仁區</v>
      </c>
      <c r="G229" s="3" t="s">
        <v>84</v>
      </c>
    </row>
    <row r="230" spans="1:7" x14ac:dyDescent="0.3">
      <c r="A230" s="1" t="s">
        <v>630</v>
      </c>
      <c r="B230" t="s">
        <v>1066</v>
      </c>
      <c r="C230" t="s">
        <v>631</v>
      </c>
      <c r="E230" t="str">
        <f t="shared" si="8"/>
        <v>台南市</v>
      </c>
      <c r="F230" t="str">
        <f t="shared" si="9"/>
        <v>新化區</v>
      </c>
      <c r="G230" s="3" t="s">
        <v>1309</v>
      </c>
    </row>
    <row r="231" spans="1:7" x14ac:dyDescent="0.3">
      <c r="A231" s="1" t="s">
        <v>632</v>
      </c>
      <c r="B231" t="s">
        <v>1067</v>
      </c>
      <c r="C231" t="s">
        <v>633</v>
      </c>
      <c r="E231" t="str">
        <f t="shared" si="8"/>
        <v>台南市</v>
      </c>
      <c r="F231" t="str">
        <f t="shared" si="9"/>
        <v>左鎮區</v>
      </c>
      <c r="G231" s="3" t="s">
        <v>1310</v>
      </c>
    </row>
    <row r="232" spans="1:7" x14ac:dyDescent="0.3">
      <c r="A232" s="1" t="s">
        <v>634</v>
      </c>
      <c r="B232" t="s">
        <v>1068</v>
      </c>
      <c r="C232" t="s">
        <v>635</v>
      </c>
      <c r="E232" t="str">
        <f t="shared" si="8"/>
        <v>台南市</v>
      </c>
      <c r="F232" t="str">
        <f t="shared" si="9"/>
        <v>玉井區</v>
      </c>
      <c r="G232" s="3" t="s">
        <v>87</v>
      </c>
    </row>
    <row r="233" spans="1:7" x14ac:dyDescent="0.3">
      <c r="A233" s="1" t="s">
        <v>636</v>
      </c>
      <c r="B233" t="s">
        <v>1069</v>
      </c>
      <c r="C233" t="s">
        <v>637</v>
      </c>
      <c r="E233" t="str">
        <f t="shared" si="8"/>
        <v>台南市</v>
      </c>
      <c r="F233" t="str">
        <f t="shared" si="9"/>
        <v>楠西區</v>
      </c>
      <c r="G233" s="3" t="s">
        <v>90</v>
      </c>
    </row>
    <row r="234" spans="1:7" x14ac:dyDescent="0.3">
      <c r="A234" s="1" t="s">
        <v>638</v>
      </c>
      <c r="B234" t="s">
        <v>1070</v>
      </c>
      <c r="C234" t="s">
        <v>639</v>
      </c>
      <c r="E234" t="str">
        <f t="shared" si="8"/>
        <v>台南市</v>
      </c>
      <c r="F234" t="str">
        <f t="shared" si="9"/>
        <v>南化區</v>
      </c>
      <c r="G234" s="3" t="s">
        <v>93</v>
      </c>
    </row>
    <row r="235" spans="1:7" x14ac:dyDescent="0.3">
      <c r="A235" s="1" t="s">
        <v>640</v>
      </c>
      <c r="B235" t="s">
        <v>1071</v>
      </c>
      <c r="C235" t="s">
        <v>641</v>
      </c>
      <c r="E235" t="str">
        <f t="shared" si="8"/>
        <v>台南市</v>
      </c>
      <c r="F235" t="str">
        <f t="shared" si="9"/>
        <v>仁德區</v>
      </c>
      <c r="G235" s="3" t="s">
        <v>96</v>
      </c>
    </row>
    <row r="236" spans="1:7" x14ac:dyDescent="0.3">
      <c r="A236" s="1" t="s">
        <v>642</v>
      </c>
      <c r="B236" t="s">
        <v>1072</v>
      </c>
      <c r="C236" t="s">
        <v>643</v>
      </c>
      <c r="E236" t="str">
        <f t="shared" si="8"/>
        <v>台南市</v>
      </c>
      <c r="F236" t="str">
        <f t="shared" si="9"/>
        <v>關廟區</v>
      </c>
      <c r="G236" s="3" t="s">
        <v>99</v>
      </c>
    </row>
    <row r="237" spans="1:7" x14ac:dyDescent="0.3">
      <c r="A237" s="1" t="s">
        <v>644</v>
      </c>
      <c r="B237" t="s">
        <v>1073</v>
      </c>
      <c r="C237" t="s">
        <v>645</v>
      </c>
      <c r="E237" t="str">
        <f t="shared" si="8"/>
        <v>台南市</v>
      </c>
      <c r="F237" t="str">
        <f t="shared" si="9"/>
        <v>龍崎區</v>
      </c>
      <c r="G237" s="3" t="s">
        <v>102</v>
      </c>
    </row>
    <row r="238" spans="1:7" x14ac:dyDescent="0.3">
      <c r="A238" s="1" t="s">
        <v>646</v>
      </c>
      <c r="B238" t="s">
        <v>1074</v>
      </c>
      <c r="C238" t="s">
        <v>647</v>
      </c>
      <c r="E238" t="str">
        <f t="shared" si="8"/>
        <v>台南市</v>
      </c>
      <c r="F238" t="str">
        <f t="shared" si="9"/>
        <v>官田區</v>
      </c>
      <c r="G238" s="3" t="s">
        <v>105</v>
      </c>
    </row>
    <row r="239" spans="1:7" x14ac:dyDescent="0.3">
      <c r="A239" s="1" t="s">
        <v>648</v>
      </c>
      <c r="B239" t="s">
        <v>1075</v>
      </c>
      <c r="C239" t="s">
        <v>649</v>
      </c>
      <c r="E239" t="str">
        <f t="shared" si="8"/>
        <v>台南市</v>
      </c>
      <c r="F239" t="str">
        <f t="shared" si="9"/>
        <v>麻豆區</v>
      </c>
      <c r="G239" s="3" t="s">
        <v>108</v>
      </c>
    </row>
    <row r="240" spans="1:7" x14ac:dyDescent="0.3">
      <c r="A240" s="1" t="s">
        <v>650</v>
      </c>
      <c r="B240" t="s">
        <v>1076</v>
      </c>
      <c r="C240" t="s">
        <v>651</v>
      </c>
      <c r="E240" t="str">
        <f t="shared" si="8"/>
        <v>台南市</v>
      </c>
      <c r="F240" t="str">
        <f t="shared" si="9"/>
        <v>佳里區</v>
      </c>
      <c r="G240" s="3" t="s">
        <v>111</v>
      </c>
    </row>
    <row r="241" spans="1:7" x14ac:dyDescent="0.3">
      <c r="A241" s="1" t="s">
        <v>652</v>
      </c>
      <c r="B241" t="s">
        <v>1077</v>
      </c>
      <c r="C241" t="s">
        <v>653</v>
      </c>
      <c r="E241" t="str">
        <f t="shared" si="8"/>
        <v>台南市</v>
      </c>
      <c r="F241" t="str">
        <f t="shared" si="9"/>
        <v>西港區</v>
      </c>
      <c r="G241" s="3" t="s">
        <v>1311</v>
      </c>
    </row>
    <row r="242" spans="1:7" x14ac:dyDescent="0.3">
      <c r="A242" s="1" t="s">
        <v>654</v>
      </c>
      <c r="B242" t="s">
        <v>1078</v>
      </c>
      <c r="C242" t="s">
        <v>655</v>
      </c>
      <c r="E242" t="str">
        <f t="shared" si="8"/>
        <v>台南市</v>
      </c>
      <c r="F242" t="str">
        <f t="shared" si="9"/>
        <v>七股區</v>
      </c>
      <c r="G242" s="3" t="s">
        <v>114</v>
      </c>
    </row>
    <row r="243" spans="1:7" x14ac:dyDescent="0.3">
      <c r="A243" s="1" t="s">
        <v>656</v>
      </c>
      <c r="B243" t="s">
        <v>1079</v>
      </c>
      <c r="C243" t="s">
        <v>657</v>
      </c>
      <c r="E243" t="str">
        <f t="shared" si="8"/>
        <v>台南市</v>
      </c>
      <c r="F243" t="str">
        <f t="shared" si="9"/>
        <v>將軍區</v>
      </c>
      <c r="G243" s="3" t="s">
        <v>117</v>
      </c>
    </row>
    <row r="244" spans="1:7" x14ac:dyDescent="0.3">
      <c r="A244" s="1" t="s">
        <v>658</v>
      </c>
      <c r="B244" t="s">
        <v>1080</v>
      </c>
      <c r="C244" t="s">
        <v>659</v>
      </c>
      <c r="E244" t="str">
        <f t="shared" si="8"/>
        <v>台南市</v>
      </c>
      <c r="F244" t="str">
        <f t="shared" si="9"/>
        <v>學甲區</v>
      </c>
      <c r="G244" s="3" t="s">
        <v>120</v>
      </c>
    </row>
    <row r="245" spans="1:7" x14ac:dyDescent="0.3">
      <c r="A245" s="1" t="s">
        <v>660</v>
      </c>
      <c r="B245" t="s">
        <v>1081</v>
      </c>
      <c r="C245" t="s">
        <v>661</v>
      </c>
      <c r="E245" t="str">
        <f t="shared" si="8"/>
        <v>台南市</v>
      </c>
      <c r="F245" t="str">
        <f t="shared" si="9"/>
        <v>北門區</v>
      </c>
      <c r="G245" s="3" t="s">
        <v>123</v>
      </c>
    </row>
    <row r="246" spans="1:7" x14ac:dyDescent="0.3">
      <c r="A246" s="1" t="s">
        <v>662</v>
      </c>
      <c r="B246" t="s">
        <v>1082</v>
      </c>
      <c r="C246" t="s">
        <v>663</v>
      </c>
      <c r="E246" t="str">
        <f t="shared" si="8"/>
        <v>台南市</v>
      </c>
      <c r="F246" t="str">
        <f t="shared" si="9"/>
        <v>新營區</v>
      </c>
      <c r="G246" s="3" t="s">
        <v>1312</v>
      </c>
    </row>
    <row r="247" spans="1:7" x14ac:dyDescent="0.3">
      <c r="A247" s="1" t="s">
        <v>664</v>
      </c>
      <c r="B247" t="s">
        <v>1083</v>
      </c>
      <c r="C247" t="s">
        <v>665</v>
      </c>
      <c r="E247" t="str">
        <f t="shared" si="8"/>
        <v>台南市</v>
      </c>
      <c r="F247" t="str">
        <f t="shared" si="9"/>
        <v>後壁區</v>
      </c>
      <c r="G247" s="3" t="s">
        <v>1313</v>
      </c>
    </row>
    <row r="248" spans="1:7" x14ac:dyDescent="0.3">
      <c r="A248" s="1" t="s">
        <v>666</v>
      </c>
      <c r="B248" t="s">
        <v>1084</v>
      </c>
      <c r="C248" t="s">
        <v>667</v>
      </c>
      <c r="E248" t="str">
        <f t="shared" si="8"/>
        <v>台南市</v>
      </c>
      <c r="F248" t="str">
        <f t="shared" si="9"/>
        <v>白河區</v>
      </c>
      <c r="G248" s="3" t="s">
        <v>126</v>
      </c>
    </row>
    <row r="249" spans="1:7" x14ac:dyDescent="0.3">
      <c r="A249" s="1" t="s">
        <v>668</v>
      </c>
      <c r="B249" t="s">
        <v>1085</v>
      </c>
      <c r="C249" t="s">
        <v>669</v>
      </c>
      <c r="E249" t="str">
        <f t="shared" si="8"/>
        <v>台南市</v>
      </c>
      <c r="F249" t="str">
        <f t="shared" si="9"/>
        <v>東山區</v>
      </c>
      <c r="G249" s="3" t="s">
        <v>129</v>
      </c>
    </row>
    <row r="250" spans="1:7" x14ac:dyDescent="0.3">
      <c r="A250" s="1" t="s">
        <v>670</v>
      </c>
      <c r="B250" t="s">
        <v>1086</v>
      </c>
      <c r="C250" t="s">
        <v>671</v>
      </c>
      <c r="E250" t="str">
        <f t="shared" si="8"/>
        <v>台南市</v>
      </c>
      <c r="F250" t="str">
        <f t="shared" si="9"/>
        <v>六甲區</v>
      </c>
      <c r="G250" s="3" t="s">
        <v>132</v>
      </c>
    </row>
    <row r="251" spans="1:7" x14ac:dyDescent="0.3">
      <c r="A251" s="1" t="s">
        <v>672</v>
      </c>
      <c r="B251" t="s">
        <v>1087</v>
      </c>
      <c r="C251" t="s">
        <v>673</v>
      </c>
      <c r="E251" t="str">
        <f t="shared" si="8"/>
        <v>台南市</v>
      </c>
      <c r="F251" t="str">
        <f t="shared" si="9"/>
        <v>下營區</v>
      </c>
      <c r="G251" s="3" t="s">
        <v>1314</v>
      </c>
    </row>
    <row r="252" spans="1:7" x14ac:dyDescent="0.3">
      <c r="A252" s="1" t="s">
        <v>674</v>
      </c>
      <c r="B252" t="s">
        <v>1088</v>
      </c>
      <c r="C252" t="s">
        <v>675</v>
      </c>
      <c r="E252" t="str">
        <f t="shared" si="8"/>
        <v>台南市</v>
      </c>
      <c r="F252" t="str">
        <f t="shared" si="9"/>
        <v>柳營區</v>
      </c>
      <c r="G252" s="3" t="s">
        <v>135</v>
      </c>
    </row>
    <row r="253" spans="1:7" x14ac:dyDescent="0.3">
      <c r="A253" s="1" t="s">
        <v>676</v>
      </c>
      <c r="B253" t="s">
        <v>1089</v>
      </c>
      <c r="C253" t="s">
        <v>677</v>
      </c>
      <c r="E253" t="str">
        <f t="shared" si="8"/>
        <v>台南市</v>
      </c>
      <c r="F253" t="str">
        <f t="shared" si="9"/>
        <v>鹽水區</v>
      </c>
      <c r="G253" s="3" t="s">
        <v>138</v>
      </c>
    </row>
    <row r="254" spans="1:7" x14ac:dyDescent="0.3">
      <c r="A254" s="1" t="s">
        <v>678</v>
      </c>
      <c r="B254" t="s">
        <v>1090</v>
      </c>
      <c r="C254" t="s">
        <v>679</v>
      </c>
      <c r="E254" t="str">
        <f t="shared" si="8"/>
        <v>台南市</v>
      </c>
      <c r="F254" t="str">
        <f t="shared" si="9"/>
        <v>善化區</v>
      </c>
      <c r="G254" s="3" t="s">
        <v>141</v>
      </c>
    </row>
    <row r="255" spans="1:7" x14ac:dyDescent="0.3">
      <c r="A255" s="1" t="s">
        <v>680</v>
      </c>
      <c r="B255" t="s">
        <v>1091</v>
      </c>
      <c r="C255" t="s">
        <v>681</v>
      </c>
      <c r="E255" t="str">
        <f t="shared" si="8"/>
        <v>台南市</v>
      </c>
      <c r="F255" t="str">
        <f t="shared" si="9"/>
        <v>大內區</v>
      </c>
      <c r="G255" s="3" t="s">
        <v>1315</v>
      </c>
    </row>
    <row r="256" spans="1:7" x14ac:dyDescent="0.3">
      <c r="A256" s="1" t="s">
        <v>682</v>
      </c>
      <c r="B256" t="s">
        <v>1092</v>
      </c>
      <c r="C256" t="s">
        <v>683</v>
      </c>
      <c r="E256" t="str">
        <f t="shared" si="8"/>
        <v>台南市</v>
      </c>
      <c r="F256" t="str">
        <f t="shared" si="9"/>
        <v>山上區</v>
      </c>
      <c r="G256" s="3" t="s">
        <v>1316</v>
      </c>
    </row>
    <row r="257" spans="1:7" x14ac:dyDescent="0.3">
      <c r="A257" s="1" t="s">
        <v>684</v>
      </c>
      <c r="B257" t="s">
        <v>1093</v>
      </c>
      <c r="C257" t="s">
        <v>685</v>
      </c>
      <c r="E257" t="str">
        <f t="shared" si="8"/>
        <v>台南市</v>
      </c>
      <c r="F257" t="str">
        <f t="shared" si="9"/>
        <v>新市區</v>
      </c>
      <c r="G257" s="3" t="s">
        <v>1317</v>
      </c>
    </row>
    <row r="258" spans="1:7" x14ac:dyDescent="0.3">
      <c r="A258" s="1" t="s">
        <v>686</v>
      </c>
      <c r="B258" t="s">
        <v>1094</v>
      </c>
      <c r="C258" t="s">
        <v>687</v>
      </c>
      <c r="E258" t="str">
        <f t="shared" si="8"/>
        <v>台南市</v>
      </c>
      <c r="F258" t="str">
        <f t="shared" si="9"/>
        <v>安定區</v>
      </c>
      <c r="G258" s="3" t="s">
        <v>1318</v>
      </c>
    </row>
    <row r="259" spans="1:7" x14ac:dyDescent="0.3">
      <c r="A259" s="1" t="s">
        <v>688</v>
      </c>
      <c r="B259" t="s">
        <v>689</v>
      </c>
      <c r="C259" t="s">
        <v>690</v>
      </c>
      <c r="E259" t="str">
        <f t="shared" ref="E259:E322" si="10">LEFT(B259,3)</f>
        <v>高雄市</v>
      </c>
      <c r="F259" t="str">
        <f t="shared" si="9"/>
        <v>新興區</v>
      </c>
      <c r="G259" s="3" t="s">
        <v>1319</v>
      </c>
    </row>
    <row r="260" spans="1:7" x14ac:dyDescent="0.3">
      <c r="A260" s="1" t="s">
        <v>691</v>
      </c>
      <c r="B260" t="s">
        <v>692</v>
      </c>
      <c r="C260" t="s">
        <v>693</v>
      </c>
      <c r="E260" t="str">
        <f t="shared" si="10"/>
        <v>高雄市</v>
      </c>
      <c r="F260" t="str">
        <f t="shared" si="9"/>
        <v>前金區</v>
      </c>
      <c r="G260" s="3" t="s">
        <v>1320</v>
      </c>
    </row>
    <row r="261" spans="1:7" x14ac:dyDescent="0.3">
      <c r="A261" s="1" t="s">
        <v>694</v>
      </c>
      <c r="B261" t="s">
        <v>695</v>
      </c>
      <c r="C261" t="s">
        <v>696</v>
      </c>
      <c r="E261" t="str">
        <f t="shared" si="10"/>
        <v>高雄市</v>
      </c>
      <c r="F261" t="str">
        <f t="shared" si="9"/>
        <v>苓雅區</v>
      </c>
      <c r="G261" s="3" t="s">
        <v>144</v>
      </c>
    </row>
    <row r="262" spans="1:7" x14ac:dyDescent="0.3">
      <c r="A262" s="1" t="s">
        <v>697</v>
      </c>
      <c r="B262" t="s">
        <v>698</v>
      </c>
      <c r="C262" t="s">
        <v>699</v>
      </c>
      <c r="E262" t="str">
        <f t="shared" si="10"/>
        <v>高雄市</v>
      </c>
      <c r="F262" t="str">
        <f t="shared" si="9"/>
        <v>鹽埕區</v>
      </c>
      <c r="G262" s="3" t="s">
        <v>147</v>
      </c>
    </row>
    <row r="263" spans="1:7" x14ac:dyDescent="0.3">
      <c r="A263" s="1" t="s">
        <v>700</v>
      </c>
      <c r="B263" t="s">
        <v>701</v>
      </c>
      <c r="C263" t="s">
        <v>702</v>
      </c>
      <c r="E263" t="str">
        <f t="shared" si="10"/>
        <v>高雄市</v>
      </c>
      <c r="F263" t="str">
        <f t="shared" si="9"/>
        <v>鼓山區</v>
      </c>
      <c r="G263" s="3" t="s">
        <v>150</v>
      </c>
    </row>
    <row r="264" spans="1:7" x14ac:dyDescent="0.3">
      <c r="A264" s="1" t="s">
        <v>703</v>
      </c>
      <c r="B264" t="s">
        <v>704</v>
      </c>
      <c r="C264" t="s">
        <v>705</v>
      </c>
      <c r="E264" t="str">
        <f t="shared" si="10"/>
        <v>高雄市</v>
      </c>
      <c r="F264" t="str">
        <f t="shared" si="9"/>
        <v>旗津區</v>
      </c>
      <c r="G264" s="3" t="s">
        <v>153</v>
      </c>
    </row>
    <row r="265" spans="1:7" x14ac:dyDescent="0.3">
      <c r="A265" s="1" t="s">
        <v>706</v>
      </c>
      <c r="B265" t="s">
        <v>707</v>
      </c>
      <c r="C265" t="s">
        <v>708</v>
      </c>
      <c r="E265" t="str">
        <f t="shared" si="10"/>
        <v>高雄市</v>
      </c>
      <c r="F265" t="str">
        <f t="shared" si="9"/>
        <v>前鎮區</v>
      </c>
      <c r="G265" s="3" t="s">
        <v>156</v>
      </c>
    </row>
    <row r="266" spans="1:7" x14ac:dyDescent="0.3">
      <c r="A266" s="1" t="s">
        <v>709</v>
      </c>
      <c r="B266" t="s">
        <v>710</v>
      </c>
      <c r="C266" t="s">
        <v>711</v>
      </c>
      <c r="E266" t="str">
        <f t="shared" si="10"/>
        <v>高雄市</v>
      </c>
      <c r="F266" t="str">
        <f t="shared" si="9"/>
        <v>三民區</v>
      </c>
      <c r="G266" s="3" t="s">
        <v>159</v>
      </c>
    </row>
    <row r="267" spans="1:7" x14ac:dyDescent="0.3">
      <c r="A267" s="1" t="s">
        <v>712</v>
      </c>
      <c r="B267" t="s">
        <v>713</v>
      </c>
      <c r="C267" t="s">
        <v>714</v>
      </c>
      <c r="E267" t="str">
        <f t="shared" si="10"/>
        <v>高雄市</v>
      </c>
      <c r="F267" t="str">
        <f t="shared" si="9"/>
        <v>楠梓區</v>
      </c>
      <c r="G267" s="3" t="s">
        <v>162</v>
      </c>
    </row>
    <row r="268" spans="1:7" x14ac:dyDescent="0.3">
      <c r="A268" s="1" t="s">
        <v>715</v>
      </c>
      <c r="B268" t="s">
        <v>716</v>
      </c>
      <c r="C268" t="s">
        <v>717</v>
      </c>
      <c r="E268" t="str">
        <f t="shared" si="10"/>
        <v>高雄市</v>
      </c>
      <c r="F268" t="str">
        <f t="shared" si="9"/>
        <v>小港區</v>
      </c>
      <c r="G268" s="3" t="s">
        <v>165</v>
      </c>
    </row>
    <row r="269" spans="1:7" x14ac:dyDescent="0.3">
      <c r="A269" s="1" t="s">
        <v>718</v>
      </c>
      <c r="B269" t="s">
        <v>719</v>
      </c>
      <c r="C269" t="s">
        <v>720</v>
      </c>
      <c r="E269" t="str">
        <f t="shared" si="10"/>
        <v>高雄市</v>
      </c>
      <c r="F269" t="str">
        <f t="shared" si="9"/>
        <v>左營區</v>
      </c>
      <c r="G269" s="3" t="s">
        <v>168</v>
      </c>
    </row>
    <row r="270" spans="1:7" x14ac:dyDescent="0.3">
      <c r="A270" s="1" t="s">
        <v>721</v>
      </c>
      <c r="B270" t="s">
        <v>722</v>
      </c>
      <c r="C270" t="s">
        <v>723</v>
      </c>
      <c r="E270" t="str">
        <f t="shared" si="10"/>
        <v>高雄市</v>
      </c>
      <c r="F270" t="str">
        <f t="shared" si="9"/>
        <v>仁武區</v>
      </c>
      <c r="G270" s="3" t="s">
        <v>171</v>
      </c>
    </row>
    <row r="271" spans="1:7" x14ac:dyDescent="0.3">
      <c r="A271" s="1" t="s">
        <v>724</v>
      </c>
      <c r="B271" t="s">
        <v>725</v>
      </c>
      <c r="C271" t="s">
        <v>726</v>
      </c>
      <c r="E271" t="str">
        <f t="shared" si="10"/>
        <v>高雄市</v>
      </c>
      <c r="F271" t="str">
        <f t="shared" si="9"/>
        <v>大社區</v>
      </c>
      <c r="G271" s="3" t="s">
        <v>174</v>
      </c>
    </row>
    <row r="272" spans="1:7" x14ac:dyDescent="0.3">
      <c r="A272" s="1" t="s">
        <v>727</v>
      </c>
      <c r="B272" t="s">
        <v>728</v>
      </c>
      <c r="C272" t="s">
        <v>729</v>
      </c>
      <c r="E272" t="str">
        <f t="shared" si="10"/>
        <v>高雄市</v>
      </c>
      <c r="F272" t="str">
        <f>RIGHT(B272,4)</f>
        <v>東沙群島</v>
      </c>
      <c r="G272" s="3" t="s">
        <v>1321</v>
      </c>
    </row>
    <row r="273" spans="1:7" x14ac:dyDescent="0.3">
      <c r="A273" s="1" t="s">
        <v>730</v>
      </c>
      <c r="B273" t="s">
        <v>731</v>
      </c>
      <c r="C273" t="s">
        <v>732</v>
      </c>
      <c r="E273" t="str">
        <f t="shared" si="10"/>
        <v>高雄市</v>
      </c>
      <c r="F273" t="str">
        <f>RIGHT(B273,4)</f>
        <v>南沙群島</v>
      </c>
      <c r="G273" s="3" t="s">
        <v>177</v>
      </c>
    </row>
    <row r="274" spans="1:7" x14ac:dyDescent="0.3">
      <c r="A274" s="1" t="s">
        <v>733</v>
      </c>
      <c r="B274" t="s">
        <v>734</v>
      </c>
      <c r="C274" t="s">
        <v>735</v>
      </c>
      <c r="E274" t="str">
        <f t="shared" si="10"/>
        <v>高雄市</v>
      </c>
      <c r="F274" t="str">
        <f t="shared" ref="F274:F311" si="11">RIGHT(B274,3)</f>
        <v>岡山區</v>
      </c>
      <c r="G274" s="3" t="s">
        <v>1322</v>
      </c>
    </row>
    <row r="275" spans="1:7" x14ac:dyDescent="0.3">
      <c r="A275" s="1" t="s">
        <v>736</v>
      </c>
      <c r="B275" t="s">
        <v>737</v>
      </c>
      <c r="C275" t="s">
        <v>738</v>
      </c>
      <c r="E275" t="str">
        <f t="shared" si="10"/>
        <v>高雄市</v>
      </c>
      <c r="F275" t="str">
        <f t="shared" si="11"/>
        <v>路竹區</v>
      </c>
      <c r="G275" s="3" t="s">
        <v>1323</v>
      </c>
    </row>
    <row r="276" spans="1:7" x14ac:dyDescent="0.3">
      <c r="A276" s="1" t="s">
        <v>739</v>
      </c>
      <c r="B276" t="s">
        <v>740</v>
      </c>
      <c r="C276" t="s">
        <v>741</v>
      </c>
      <c r="E276" t="str">
        <f t="shared" si="10"/>
        <v>高雄市</v>
      </c>
      <c r="F276" t="str">
        <f t="shared" si="11"/>
        <v>阿蓮區</v>
      </c>
      <c r="G276" s="3" t="s">
        <v>1324</v>
      </c>
    </row>
    <row r="277" spans="1:7" x14ac:dyDescent="0.3">
      <c r="A277" s="1" t="s">
        <v>742</v>
      </c>
      <c r="B277" t="s">
        <v>743</v>
      </c>
      <c r="C277" t="s">
        <v>744</v>
      </c>
      <c r="E277" t="str">
        <f t="shared" si="10"/>
        <v>高雄市</v>
      </c>
      <c r="F277" t="str">
        <f t="shared" si="11"/>
        <v>田寮區</v>
      </c>
      <c r="G277" s="3" t="s">
        <v>1325</v>
      </c>
    </row>
    <row r="278" spans="1:7" x14ac:dyDescent="0.3">
      <c r="A278" s="1" t="s">
        <v>745</v>
      </c>
      <c r="B278" t="s">
        <v>746</v>
      </c>
      <c r="C278" t="s">
        <v>747</v>
      </c>
      <c r="E278" t="str">
        <f t="shared" si="10"/>
        <v>高雄市</v>
      </c>
      <c r="F278" t="str">
        <f t="shared" si="11"/>
        <v>燕巢區</v>
      </c>
      <c r="G278" s="3" t="s">
        <v>1326</v>
      </c>
    </row>
    <row r="279" spans="1:7" x14ac:dyDescent="0.3">
      <c r="A279" s="1" t="s">
        <v>748</v>
      </c>
      <c r="B279" t="s">
        <v>749</v>
      </c>
      <c r="C279" t="s">
        <v>750</v>
      </c>
      <c r="E279" t="str">
        <f t="shared" si="10"/>
        <v>高雄市</v>
      </c>
      <c r="F279" t="str">
        <f t="shared" si="11"/>
        <v>橋頭區</v>
      </c>
      <c r="G279" s="3" t="s">
        <v>1327</v>
      </c>
    </row>
    <row r="280" spans="1:7" x14ac:dyDescent="0.3">
      <c r="A280" s="1" t="s">
        <v>751</v>
      </c>
      <c r="B280" t="s">
        <v>752</v>
      </c>
      <c r="C280" t="s">
        <v>753</v>
      </c>
      <c r="E280" t="str">
        <f t="shared" si="10"/>
        <v>高雄市</v>
      </c>
      <c r="F280" t="str">
        <f t="shared" si="11"/>
        <v>梓官區</v>
      </c>
      <c r="G280" s="3" t="s">
        <v>1328</v>
      </c>
    </row>
    <row r="281" spans="1:7" x14ac:dyDescent="0.3">
      <c r="A281" s="1" t="s">
        <v>754</v>
      </c>
      <c r="B281" t="s">
        <v>755</v>
      </c>
      <c r="C281" t="s">
        <v>756</v>
      </c>
      <c r="E281" t="str">
        <f t="shared" si="10"/>
        <v>高雄市</v>
      </c>
      <c r="F281" t="str">
        <f t="shared" si="11"/>
        <v>彌陀區</v>
      </c>
      <c r="G281" s="3" t="s">
        <v>1329</v>
      </c>
    </row>
    <row r="282" spans="1:7" x14ac:dyDescent="0.3">
      <c r="A282" s="1" t="s">
        <v>757</v>
      </c>
      <c r="B282" t="s">
        <v>758</v>
      </c>
      <c r="C282" t="s">
        <v>759</v>
      </c>
      <c r="E282" t="str">
        <f t="shared" si="10"/>
        <v>高雄市</v>
      </c>
      <c r="F282" t="str">
        <f t="shared" si="11"/>
        <v>永安區</v>
      </c>
      <c r="G282" s="3" t="s">
        <v>1330</v>
      </c>
    </row>
    <row r="283" spans="1:7" x14ac:dyDescent="0.3">
      <c r="A283" s="1" t="s">
        <v>760</v>
      </c>
      <c r="B283" t="s">
        <v>761</v>
      </c>
      <c r="C283" t="s">
        <v>762</v>
      </c>
      <c r="E283" t="str">
        <f t="shared" si="10"/>
        <v>高雄市</v>
      </c>
      <c r="F283" t="str">
        <f t="shared" si="11"/>
        <v>湖內區</v>
      </c>
      <c r="G283" s="3" t="s">
        <v>1331</v>
      </c>
    </row>
    <row r="284" spans="1:7" x14ac:dyDescent="0.3">
      <c r="A284" s="1" t="s">
        <v>763</v>
      </c>
      <c r="B284" t="s">
        <v>764</v>
      </c>
      <c r="C284" t="s">
        <v>765</v>
      </c>
      <c r="E284" t="str">
        <f t="shared" si="10"/>
        <v>高雄市</v>
      </c>
      <c r="F284" t="str">
        <f t="shared" si="11"/>
        <v>鳳山區</v>
      </c>
      <c r="G284" s="3" t="s">
        <v>1332</v>
      </c>
    </row>
    <row r="285" spans="1:7" x14ac:dyDescent="0.3">
      <c r="A285" s="1" t="s">
        <v>766</v>
      </c>
      <c r="B285" t="s">
        <v>767</v>
      </c>
      <c r="C285" t="s">
        <v>768</v>
      </c>
      <c r="E285" t="str">
        <f t="shared" si="10"/>
        <v>高雄市</v>
      </c>
      <c r="F285" t="str">
        <f t="shared" si="11"/>
        <v>大寮區</v>
      </c>
      <c r="G285" s="3" t="s">
        <v>1333</v>
      </c>
    </row>
    <row r="286" spans="1:7" x14ac:dyDescent="0.3">
      <c r="A286" s="1" t="s">
        <v>769</v>
      </c>
      <c r="B286" t="s">
        <v>770</v>
      </c>
      <c r="C286" t="s">
        <v>771</v>
      </c>
      <c r="E286" t="str">
        <f t="shared" si="10"/>
        <v>高雄市</v>
      </c>
      <c r="F286" t="str">
        <f t="shared" si="11"/>
        <v>林園區</v>
      </c>
      <c r="G286" s="3" t="s">
        <v>1334</v>
      </c>
    </row>
    <row r="287" spans="1:7" x14ac:dyDescent="0.3">
      <c r="A287" s="1" t="s">
        <v>772</v>
      </c>
      <c r="B287" t="s">
        <v>773</v>
      </c>
      <c r="C287" t="s">
        <v>774</v>
      </c>
      <c r="E287" t="str">
        <f t="shared" si="10"/>
        <v>高雄市</v>
      </c>
      <c r="F287" t="str">
        <f t="shared" si="11"/>
        <v>鳥松區</v>
      </c>
      <c r="G287" s="3" t="s">
        <v>1335</v>
      </c>
    </row>
    <row r="288" spans="1:7" x14ac:dyDescent="0.3">
      <c r="A288" s="1" t="s">
        <v>775</v>
      </c>
      <c r="B288" t="s">
        <v>776</v>
      </c>
      <c r="C288" t="s">
        <v>777</v>
      </c>
      <c r="E288" t="str">
        <f t="shared" si="10"/>
        <v>高雄市</v>
      </c>
      <c r="F288" t="str">
        <f t="shared" si="11"/>
        <v>大樹區</v>
      </c>
      <c r="G288" s="3" t="s">
        <v>1336</v>
      </c>
    </row>
    <row r="289" spans="1:7" x14ac:dyDescent="0.3">
      <c r="A289" s="1" t="s">
        <v>778</v>
      </c>
      <c r="B289" t="s">
        <v>779</v>
      </c>
      <c r="C289" t="s">
        <v>780</v>
      </c>
      <c r="E289" t="str">
        <f t="shared" si="10"/>
        <v>高雄市</v>
      </c>
      <c r="F289" t="str">
        <f t="shared" si="11"/>
        <v>旗山區</v>
      </c>
      <c r="G289" s="3" t="s">
        <v>1337</v>
      </c>
    </row>
    <row r="290" spans="1:7" x14ac:dyDescent="0.3">
      <c r="A290" s="1" t="s">
        <v>781</v>
      </c>
      <c r="B290" t="s">
        <v>782</v>
      </c>
      <c r="C290" t="s">
        <v>783</v>
      </c>
      <c r="E290" t="str">
        <f t="shared" si="10"/>
        <v>高雄市</v>
      </c>
      <c r="F290" t="str">
        <f t="shared" si="11"/>
        <v>美濃區</v>
      </c>
      <c r="G290" s="3" t="s">
        <v>1338</v>
      </c>
    </row>
    <row r="291" spans="1:7" x14ac:dyDescent="0.3">
      <c r="A291" s="1" t="s">
        <v>784</v>
      </c>
      <c r="B291" t="s">
        <v>785</v>
      </c>
      <c r="C291" t="s">
        <v>786</v>
      </c>
      <c r="E291" t="str">
        <f t="shared" si="10"/>
        <v>高雄市</v>
      </c>
      <c r="F291" t="str">
        <f t="shared" si="11"/>
        <v>六龜區</v>
      </c>
      <c r="G291" s="3" t="s">
        <v>180</v>
      </c>
    </row>
    <row r="292" spans="1:7" x14ac:dyDescent="0.3">
      <c r="A292" s="1" t="s">
        <v>787</v>
      </c>
      <c r="B292" t="s">
        <v>788</v>
      </c>
      <c r="C292" t="s">
        <v>789</v>
      </c>
      <c r="E292" t="str">
        <f t="shared" si="10"/>
        <v>高雄市</v>
      </c>
      <c r="F292" t="str">
        <f t="shared" si="11"/>
        <v>內門區</v>
      </c>
      <c r="G292" s="3" t="s">
        <v>1339</v>
      </c>
    </row>
    <row r="293" spans="1:7" x14ac:dyDescent="0.3">
      <c r="A293" s="1" t="s">
        <v>790</v>
      </c>
      <c r="B293" t="s">
        <v>791</v>
      </c>
      <c r="C293" t="s">
        <v>792</v>
      </c>
      <c r="E293" t="str">
        <f t="shared" si="10"/>
        <v>高雄市</v>
      </c>
      <c r="F293" t="str">
        <f t="shared" si="11"/>
        <v>杉林區</v>
      </c>
      <c r="G293" s="3" t="s">
        <v>1340</v>
      </c>
    </row>
    <row r="294" spans="1:7" x14ac:dyDescent="0.3">
      <c r="A294" s="1" t="s">
        <v>793</v>
      </c>
      <c r="B294" t="s">
        <v>794</v>
      </c>
      <c r="C294" t="s">
        <v>795</v>
      </c>
      <c r="E294" t="str">
        <f t="shared" si="10"/>
        <v>高雄市</v>
      </c>
      <c r="F294" t="str">
        <f t="shared" si="11"/>
        <v>甲仙區</v>
      </c>
      <c r="G294" s="3" t="s">
        <v>1341</v>
      </c>
    </row>
    <row r="295" spans="1:7" x14ac:dyDescent="0.3">
      <c r="A295" s="1" t="s">
        <v>796</v>
      </c>
      <c r="B295" t="s">
        <v>797</v>
      </c>
      <c r="C295" t="s">
        <v>798</v>
      </c>
      <c r="E295" t="str">
        <f t="shared" si="10"/>
        <v>高雄市</v>
      </c>
      <c r="F295" t="str">
        <f t="shared" si="11"/>
        <v>桃源區</v>
      </c>
      <c r="G295" s="3" t="s">
        <v>1342</v>
      </c>
    </row>
    <row r="296" spans="1:7" x14ac:dyDescent="0.3">
      <c r="A296" s="1" t="s">
        <v>799</v>
      </c>
      <c r="B296" t="s">
        <v>800</v>
      </c>
      <c r="C296" t="s">
        <v>801</v>
      </c>
      <c r="E296" t="str">
        <f t="shared" si="10"/>
        <v>高雄市</v>
      </c>
      <c r="F296" t="str">
        <f>RIGHT(B296,4)</f>
        <v>那瑪夏區</v>
      </c>
      <c r="G296" s="3" t="s">
        <v>1343</v>
      </c>
    </row>
    <row r="297" spans="1:7" x14ac:dyDescent="0.3">
      <c r="A297" s="1" t="s">
        <v>802</v>
      </c>
      <c r="B297" t="s">
        <v>803</v>
      </c>
      <c r="C297" t="s">
        <v>804</v>
      </c>
      <c r="E297" t="str">
        <f t="shared" si="10"/>
        <v>高雄市</v>
      </c>
      <c r="F297" t="str">
        <f t="shared" si="11"/>
        <v>茂林區</v>
      </c>
      <c r="G297" s="3" t="s">
        <v>1344</v>
      </c>
    </row>
    <row r="298" spans="1:7" x14ac:dyDescent="0.3">
      <c r="A298" s="1" t="s">
        <v>805</v>
      </c>
      <c r="B298" t="s">
        <v>806</v>
      </c>
      <c r="C298" t="s">
        <v>807</v>
      </c>
      <c r="E298" t="str">
        <f t="shared" si="10"/>
        <v>高雄市</v>
      </c>
      <c r="F298" t="str">
        <f t="shared" si="11"/>
        <v>茄萣區</v>
      </c>
      <c r="G298" s="3" t="s">
        <v>1345</v>
      </c>
    </row>
    <row r="299" spans="1:7" x14ac:dyDescent="0.3">
      <c r="A299" s="1" t="s">
        <v>808</v>
      </c>
      <c r="B299" t="s">
        <v>809</v>
      </c>
      <c r="C299" t="s">
        <v>810</v>
      </c>
      <c r="E299" t="str">
        <f t="shared" si="10"/>
        <v>澎湖縣</v>
      </c>
      <c r="F299" t="str">
        <f t="shared" si="11"/>
        <v>馬公市</v>
      </c>
      <c r="G299" s="3" t="s">
        <v>1346</v>
      </c>
    </row>
    <row r="300" spans="1:7" x14ac:dyDescent="0.3">
      <c r="A300" s="1" t="s">
        <v>811</v>
      </c>
      <c r="B300" t="s">
        <v>812</v>
      </c>
      <c r="C300" t="s">
        <v>813</v>
      </c>
      <c r="E300" t="str">
        <f t="shared" si="10"/>
        <v>澎湖縣</v>
      </c>
      <c r="F300" t="str">
        <f t="shared" si="11"/>
        <v>西嶼鄉</v>
      </c>
      <c r="G300" s="3" t="s">
        <v>1347</v>
      </c>
    </row>
    <row r="301" spans="1:7" x14ac:dyDescent="0.3">
      <c r="A301" s="1" t="s">
        <v>814</v>
      </c>
      <c r="B301" t="s">
        <v>815</v>
      </c>
      <c r="C301" t="s">
        <v>816</v>
      </c>
      <c r="E301" t="str">
        <f t="shared" si="10"/>
        <v>澎湖縣</v>
      </c>
      <c r="F301" t="str">
        <f t="shared" si="11"/>
        <v>望安鄉</v>
      </c>
      <c r="G301" s="3" t="s">
        <v>182</v>
      </c>
    </row>
    <row r="302" spans="1:7" x14ac:dyDescent="0.3">
      <c r="A302" s="1" t="s">
        <v>817</v>
      </c>
      <c r="B302" t="s">
        <v>818</v>
      </c>
      <c r="C302" t="s">
        <v>819</v>
      </c>
      <c r="E302" t="str">
        <f t="shared" si="10"/>
        <v>澎湖縣</v>
      </c>
      <c r="F302" t="str">
        <f t="shared" si="11"/>
        <v>七美鄉</v>
      </c>
      <c r="G302" s="3" t="s">
        <v>1348</v>
      </c>
    </row>
    <row r="303" spans="1:7" x14ac:dyDescent="0.3">
      <c r="A303" s="1" t="s">
        <v>820</v>
      </c>
      <c r="B303" t="s">
        <v>821</v>
      </c>
      <c r="C303" t="s">
        <v>822</v>
      </c>
      <c r="E303" t="str">
        <f t="shared" si="10"/>
        <v>澎湖縣</v>
      </c>
      <c r="F303" t="str">
        <f t="shared" si="11"/>
        <v>白沙鄉</v>
      </c>
      <c r="G303" s="3" t="s">
        <v>189</v>
      </c>
    </row>
    <row r="304" spans="1:7" x14ac:dyDescent="0.3">
      <c r="A304" s="1" t="s">
        <v>823</v>
      </c>
      <c r="B304" t="s">
        <v>824</v>
      </c>
      <c r="C304" t="s">
        <v>825</v>
      </c>
      <c r="E304" t="str">
        <f t="shared" si="10"/>
        <v>澎湖縣</v>
      </c>
      <c r="F304" t="str">
        <f t="shared" si="11"/>
        <v>湖西鄉</v>
      </c>
      <c r="G304" s="3" t="s">
        <v>192</v>
      </c>
    </row>
    <row r="305" spans="1:7" x14ac:dyDescent="0.3">
      <c r="A305" s="1" t="s">
        <v>826</v>
      </c>
      <c r="B305" t="s">
        <v>827</v>
      </c>
      <c r="C305" t="s">
        <v>828</v>
      </c>
      <c r="E305" t="str">
        <f t="shared" si="10"/>
        <v>金門縣</v>
      </c>
      <c r="F305" t="str">
        <f t="shared" si="11"/>
        <v>金沙鎮</v>
      </c>
      <c r="G305" s="3" t="s">
        <v>195</v>
      </c>
    </row>
    <row r="306" spans="1:7" x14ac:dyDescent="0.3">
      <c r="A306" s="1" t="s">
        <v>829</v>
      </c>
      <c r="B306" t="s">
        <v>830</v>
      </c>
      <c r="C306" t="s">
        <v>831</v>
      </c>
      <c r="E306" t="str">
        <f t="shared" si="10"/>
        <v>金門縣</v>
      </c>
      <c r="F306" t="str">
        <f t="shared" si="11"/>
        <v>金湖鎮</v>
      </c>
      <c r="G306" s="3" t="s">
        <v>198</v>
      </c>
    </row>
    <row r="307" spans="1:7" x14ac:dyDescent="0.3">
      <c r="A307" s="1" t="s">
        <v>832</v>
      </c>
      <c r="B307" t="s">
        <v>833</v>
      </c>
      <c r="C307" t="s">
        <v>834</v>
      </c>
      <c r="E307" t="str">
        <f t="shared" si="10"/>
        <v>金門縣</v>
      </c>
      <c r="F307" t="str">
        <f t="shared" si="11"/>
        <v>金寧鄉</v>
      </c>
      <c r="G307" s="3" t="s">
        <v>201</v>
      </c>
    </row>
    <row r="308" spans="1:7" x14ac:dyDescent="0.3">
      <c r="A308" s="1" t="s">
        <v>835</v>
      </c>
      <c r="B308" t="s">
        <v>836</v>
      </c>
      <c r="C308" t="s">
        <v>837</v>
      </c>
      <c r="E308" t="str">
        <f t="shared" si="10"/>
        <v>金門縣</v>
      </c>
      <c r="F308" t="str">
        <f t="shared" si="11"/>
        <v>金城鎮</v>
      </c>
      <c r="G308" s="3" t="s">
        <v>204</v>
      </c>
    </row>
    <row r="309" spans="1:7" x14ac:dyDescent="0.3">
      <c r="A309" s="1" t="s">
        <v>838</v>
      </c>
      <c r="B309" t="s">
        <v>839</v>
      </c>
      <c r="C309" t="s">
        <v>840</v>
      </c>
      <c r="E309" t="str">
        <f t="shared" si="10"/>
        <v>金門縣</v>
      </c>
      <c r="F309" t="str">
        <f t="shared" si="11"/>
        <v>烈嶼鄉</v>
      </c>
      <c r="G309" s="3" t="s">
        <v>207</v>
      </c>
    </row>
    <row r="310" spans="1:7" x14ac:dyDescent="0.3">
      <c r="A310" s="1" t="s">
        <v>841</v>
      </c>
      <c r="B310" t="s">
        <v>842</v>
      </c>
      <c r="C310" t="s">
        <v>843</v>
      </c>
      <c r="E310" t="str">
        <f t="shared" si="10"/>
        <v>金門縣</v>
      </c>
      <c r="F310" t="str">
        <f t="shared" si="11"/>
        <v>烏坵鄉</v>
      </c>
      <c r="G310" s="3" t="s">
        <v>1349</v>
      </c>
    </row>
    <row r="311" spans="1:7" x14ac:dyDescent="0.3">
      <c r="A311" s="1" t="s">
        <v>844</v>
      </c>
      <c r="B311" t="s">
        <v>845</v>
      </c>
      <c r="C311" t="s">
        <v>846</v>
      </c>
      <c r="E311" t="str">
        <f t="shared" si="10"/>
        <v>屏東縣</v>
      </c>
      <c r="F311" t="str">
        <f t="shared" si="11"/>
        <v>屏東市</v>
      </c>
      <c r="G311" s="3" t="s">
        <v>210</v>
      </c>
    </row>
    <row r="312" spans="1:7" x14ac:dyDescent="0.3">
      <c r="A312" s="1" t="s">
        <v>847</v>
      </c>
      <c r="B312" t="s">
        <v>848</v>
      </c>
      <c r="C312" t="s">
        <v>849</v>
      </c>
      <c r="E312" t="str">
        <f t="shared" si="10"/>
        <v>屏東縣</v>
      </c>
      <c r="F312" t="str">
        <f>RIGHT(B312,4)</f>
        <v>三地門鄉</v>
      </c>
      <c r="G312" s="3" t="s">
        <v>213</v>
      </c>
    </row>
    <row r="313" spans="1:7" x14ac:dyDescent="0.3">
      <c r="A313" s="1" t="s">
        <v>850</v>
      </c>
      <c r="B313" t="s">
        <v>1112</v>
      </c>
      <c r="C313" t="s">
        <v>851</v>
      </c>
      <c r="E313" t="str">
        <f t="shared" si="10"/>
        <v>屏東縣</v>
      </c>
      <c r="F313" t="str">
        <f t="shared" ref="F313:F355" si="12">RIGHT(B313,3)</f>
        <v>霧台鄉</v>
      </c>
      <c r="G313" s="3" t="s">
        <v>216</v>
      </c>
    </row>
    <row r="314" spans="1:7" x14ac:dyDescent="0.3">
      <c r="A314" s="1" t="s">
        <v>852</v>
      </c>
      <c r="B314" t="s">
        <v>853</v>
      </c>
      <c r="C314" t="s">
        <v>854</v>
      </c>
      <c r="E314" t="str">
        <f t="shared" si="10"/>
        <v>屏東縣</v>
      </c>
      <c r="F314" t="str">
        <f t="shared" si="12"/>
        <v>瑪家鄉</v>
      </c>
      <c r="G314" s="3" t="s">
        <v>219</v>
      </c>
    </row>
    <row r="315" spans="1:7" x14ac:dyDescent="0.3">
      <c r="A315" s="1" t="s">
        <v>855</v>
      </c>
      <c r="B315" t="s">
        <v>856</v>
      </c>
      <c r="C315" t="s">
        <v>857</v>
      </c>
      <c r="E315" t="str">
        <f t="shared" si="10"/>
        <v>屏東縣</v>
      </c>
      <c r="F315" t="str">
        <f t="shared" si="12"/>
        <v>九如鄉</v>
      </c>
      <c r="G315" s="3" t="s">
        <v>222</v>
      </c>
    </row>
    <row r="316" spans="1:7" x14ac:dyDescent="0.3">
      <c r="A316" s="1" t="s">
        <v>858</v>
      </c>
      <c r="B316" t="s">
        <v>859</v>
      </c>
      <c r="C316" t="s">
        <v>860</v>
      </c>
      <c r="E316" t="str">
        <f t="shared" si="10"/>
        <v>屏東縣</v>
      </c>
      <c r="F316" t="str">
        <f t="shared" si="12"/>
        <v>里港鄉</v>
      </c>
      <c r="G316" s="3" t="s">
        <v>225</v>
      </c>
    </row>
    <row r="317" spans="1:7" x14ac:dyDescent="0.3">
      <c r="A317" s="1" t="s">
        <v>861</v>
      </c>
      <c r="B317" t="s">
        <v>862</v>
      </c>
      <c r="C317" t="s">
        <v>863</v>
      </c>
      <c r="E317" t="str">
        <f t="shared" si="10"/>
        <v>屏東縣</v>
      </c>
      <c r="F317" t="str">
        <f t="shared" si="12"/>
        <v>高樹鄉</v>
      </c>
      <c r="G317" s="3" t="s">
        <v>1350</v>
      </c>
    </row>
    <row r="318" spans="1:7" x14ac:dyDescent="0.3">
      <c r="A318" s="1" t="s">
        <v>864</v>
      </c>
      <c r="B318" t="s">
        <v>865</v>
      </c>
      <c r="C318" t="s">
        <v>866</v>
      </c>
      <c r="E318" t="str">
        <f t="shared" si="10"/>
        <v>屏東縣</v>
      </c>
      <c r="F318" t="str">
        <f t="shared" si="12"/>
        <v>鹽埔鄉</v>
      </c>
      <c r="G318" s="3" t="s">
        <v>1351</v>
      </c>
    </row>
    <row r="319" spans="1:7" x14ac:dyDescent="0.3">
      <c r="A319" s="1" t="s">
        <v>867</v>
      </c>
      <c r="B319" t="s">
        <v>868</v>
      </c>
      <c r="C319" t="s">
        <v>869</v>
      </c>
      <c r="E319" t="str">
        <f t="shared" si="10"/>
        <v>屏東縣</v>
      </c>
      <c r="F319" t="str">
        <f t="shared" si="12"/>
        <v>長治鄉</v>
      </c>
      <c r="G319" s="3" t="s">
        <v>1352</v>
      </c>
    </row>
    <row r="320" spans="1:7" x14ac:dyDescent="0.3">
      <c r="A320" s="1" t="s">
        <v>870</v>
      </c>
      <c r="B320" t="s">
        <v>871</v>
      </c>
      <c r="C320" t="s">
        <v>872</v>
      </c>
      <c r="E320" t="str">
        <f t="shared" si="10"/>
        <v>屏東縣</v>
      </c>
      <c r="F320" t="str">
        <f t="shared" si="12"/>
        <v>麟洛鄉</v>
      </c>
      <c r="G320" s="3" t="s">
        <v>1353</v>
      </c>
    </row>
    <row r="321" spans="1:7" x14ac:dyDescent="0.3">
      <c r="A321" s="1" t="s">
        <v>873</v>
      </c>
      <c r="B321" t="s">
        <v>874</v>
      </c>
      <c r="C321" t="s">
        <v>875</v>
      </c>
      <c r="E321" t="str">
        <f t="shared" si="10"/>
        <v>屏東縣</v>
      </c>
      <c r="F321" t="str">
        <f t="shared" si="12"/>
        <v>竹田鄉</v>
      </c>
      <c r="G321" s="3" t="s">
        <v>228</v>
      </c>
    </row>
    <row r="322" spans="1:7" x14ac:dyDescent="0.3">
      <c r="A322" s="1" t="s">
        <v>876</v>
      </c>
      <c r="B322" t="s">
        <v>877</v>
      </c>
      <c r="C322" t="s">
        <v>878</v>
      </c>
      <c r="E322" t="str">
        <f t="shared" si="10"/>
        <v>屏東縣</v>
      </c>
      <c r="F322" t="str">
        <f t="shared" si="12"/>
        <v>內埔鄉</v>
      </c>
      <c r="G322" s="3" t="s">
        <v>1354</v>
      </c>
    </row>
    <row r="323" spans="1:7" x14ac:dyDescent="0.3">
      <c r="A323" s="1" t="s">
        <v>879</v>
      </c>
      <c r="B323" t="s">
        <v>880</v>
      </c>
      <c r="C323" t="s">
        <v>881</v>
      </c>
      <c r="E323" t="str">
        <f t="shared" ref="E323:E372" si="13">LEFT(B323,3)</f>
        <v>屏東縣</v>
      </c>
      <c r="F323" t="str">
        <f t="shared" si="12"/>
        <v>萬丹鄉</v>
      </c>
      <c r="G323" s="3" t="s">
        <v>1355</v>
      </c>
    </row>
    <row r="324" spans="1:7" x14ac:dyDescent="0.3">
      <c r="A324" s="1" t="s">
        <v>882</v>
      </c>
      <c r="B324" t="s">
        <v>883</v>
      </c>
      <c r="C324" t="s">
        <v>884</v>
      </c>
      <c r="E324" t="str">
        <f t="shared" si="13"/>
        <v>屏東縣</v>
      </c>
      <c r="F324" t="str">
        <f t="shared" si="12"/>
        <v>潮州鎮</v>
      </c>
      <c r="G324" s="3" t="s">
        <v>1356</v>
      </c>
    </row>
    <row r="325" spans="1:7" x14ac:dyDescent="0.3">
      <c r="A325" s="1" t="s">
        <v>885</v>
      </c>
      <c r="B325" t="s">
        <v>886</v>
      </c>
      <c r="C325" t="s">
        <v>887</v>
      </c>
      <c r="E325" t="str">
        <f t="shared" si="13"/>
        <v>屏東縣</v>
      </c>
      <c r="F325" t="str">
        <f t="shared" si="12"/>
        <v>泰武鄉</v>
      </c>
      <c r="G325" s="3" t="s">
        <v>231</v>
      </c>
    </row>
    <row r="326" spans="1:7" x14ac:dyDescent="0.3">
      <c r="A326" s="1" t="s">
        <v>888</v>
      </c>
      <c r="B326" t="s">
        <v>889</v>
      </c>
      <c r="C326" t="s">
        <v>890</v>
      </c>
      <c r="E326" t="str">
        <f t="shared" si="13"/>
        <v>屏東縣</v>
      </c>
      <c r="F326" t="str">
        <f t="shared" si="12"/>
        <v>來義鄉</v>
      </c>
      <c r="G326" s="3" t="s">
        <v>234</v>
      </c>
    </row>
    <row r="327" spans="1:7" x14ac:dyDescent="0.3">
      <c r="A327" s="1" t="s">
        <v>891</v>
      </c>
      <c r="B327" t="s">
        <v>892</v>
      </c>
      <c r="C327" t="s">
        <v>893</v>
      </c>
      <c r="E327" t="str">
        <f t="shared" si="13"/>
        <v>屏東縣</v>
      </c>
      <c r="F327" t="str">
        <f t="shared" si="12"/>
        <v>萬巒鄉</v>
      </c>
      <c r="G327" s="3" t="s">
        <v>237</v>
      </c>
    </row>
    <row r="328" spans="1:7" x14ac:dyDescent="0.3">
      <c r="A328" s="1" t="s">
        <v>894</v>
      </c>
      <c r="B328" t="s">
        <v>895</v>
      </c>
      <c r="C328" t="s">
        <v>896</v>
      </c>
      <c r="E328" t="str">
        <f t="shared" si="13"/>
        <v>屏東縣</v>
      </c>
      <c r="F328" t="str">
        <f t="shared" si="12"/>
        <v>崁頂鄉</v>
      </c>
      <c r="G328" s="3" t="s">
        <v>240</v>
      </c>
    </row>
    <row r="329" spans="1:7" x14ac:dyDescent="0.3">
      <c r="A329" s="1" t="s">
        <v>897</v>
      </c>
      <c r="B329" t="s">
        <v>898</v>
      </c>
      <c r="C329" t="s">
        <v>899</v>
      </c>
      <c r="E329" t="str">
        <f t="shared" si="13"/>
        <v>屏東縣</v>
      </c>
      <c r="F329" t="str">
        <f t="shared" si="12"/>
        <v>新埤鄉</v>
      </c>
      <c r="G329" s="3" t="s">
        <v>243</v>
      </c>
    </row>
    <row r="330" spans="1:7" x14ac:dyDescent="0.3">
      <c r="A330" s="1" t="s">
        <v>900</v>
      </c>
      <c r="B330" t="s">
        <v>901</v>
      </c>
      <c r="C330" t="s">
        <v>902</v>
      </c>
      <c r="E330" t="str">
        <f t="shared" si="13"/>
        <v>屏東縣</v>
      </c>
      <c r="F330" t="str">
        <f t="shared" si="12"/>
        <v>南州鄉</v>
      </c>
      <c r="G330" s="3" t="s">
        <v>1357</v>
      </c>
    </row>
    <row r="331" spans="1:7" x14ac:dyDescent="0.3">
      <c r="A331" s="1" t="s">
        <v>903</v>
      </c>
      <c r="B331" t="s">
        <v>904</v>
      </c>
      <c r="C331" t="s">
        <v>905</v>
      </c>
      <c r="E331" t="str">
        <f t="shared" si="13"/>
        <v>屏東縣</v>
      </c>
      <c r="F331" t="str">
        <f t="shared" si="12"/>
        <v>林邊鄉</v>
      </c>
      <c r="G331" s="3" t="s">
        <v>246</v>
      </c>
    </row>
    <row r="332" spans="1:7" x14ac:dyDescent="0.3">
      <c r="A332" s="1" t="s">
        <v>906</v>
      </c>
      <c r="B332" t="s">
        <v>907</v>
      </c>
      <c r="C332" t="s">
        <v>908</v>
      </c>
      <c r="E332" t="str">
        <f t="shared" si="13"/>
        <v>屏東縣</v>
      </c>
      <c r="F332" t="str">
        <f t="shared" si="12"/>
        <v>東港鎮</v>
      </c>
      <c r="G332" s="3" t="s">
        <v>1358</v>
      </c>
    </row>
    <row r="333" spans="1:7" x14ac:dyDescent="0.3">
      <c r="A333" s="1" t="s">
        <v>909</v>
      </c>
      <c r="B333" t="s">
        <v>910</v>
      </c>
      <c r="C333" t="s">
        <v>911</v>
      </c>
      <c r="E333" t="str">
        <f t="shared" si="13"/>
        <v>屏東縣</v>
      </c>
      <c r="F333" t="str">
        <f t="shared" si="12"/>
        <v>琉球鄉</v>
      </c>
      <c r="G333" s="3" t="s">
        <v>1359</v>
      </c>
    </row>
    <row r="334" spans="1:7" x14ac:dyDescent="0.3">
      <c r="A334" s="1" t="s">
        <v>912</v>
      </c>
      <c r="B334" t="s">
        <v>913</v>
      </c>
      <c r="C334" t="s">
        <v>914</v>
      </c>
      <c r="E334" t="str">
        <f t="shared" si="13"/>
        <v>屏東縣</v>
      </c>
      <c r="F334" t="str">
        <f t="shared" si="12"/>
        <v>佳冬鄉</v>
      </c>
      <c r="G334" s="3" t="s">
        <v>249</v>
      </c>
    </row>
    <row r="335" spans="1:7" x14ac:dyDescent="0.3">
      <c r="A335" s="1" t="s">
        <v>915</v>
      </c>
      <c r="B335" t="s">
        <v>916</v>
      </c>
      <c r="C335" t="s">
        <v>917</v>
      </c>
      <c r="E335" t="str">
        <f t="shared" si="13"/>
        <v>屏東縣</v>
      </c>
      <c r="F335" t="str">
        <f t="shared" si="12"/>
        <v>新園鄉</v>
      </c>
      <c r="G335" s="3" t="s">
        <v>252</v>
      </c>
    </row>
    <row r="336" spans="1:7" x14ac:dyDescent="0.3">
      <c r="A336" s="1" t="s">
        <v>918</v>
      </c>
      <c r="B336" t="s">
        <v>919</v>
      </c>
      <c r="C336" t="s">
        <v>920</v>
      </c>
      <c r="E336" t="str">
        <f t="shared" si="13"/>
        <v>屏東縣</v>
      </c>
      <c r="F336" t="str">
        <f t="shared" si="12"/>
        <v>枋寮鄉</v>
      </c>
      <c r="G336" s="3" t="s">
        <v>255</v>
      </c>
    </row>
    <row r="337" spans="1:7" x14ac:dyDescent="0.3">
      <c r="A337" s="1" t="s">
        <v>921</v>
      </c>
      <c r="B337" t="s">
        <v>922</v>
      </c>
      <c r="C337" t="s">
        <v>923</v>
      </c>
      <c r="E337" t="str">
        <f t="shared" si="13"/>
        <v>屏東縣</v>
      </c>
      <c r="F337" t="str">
        <f t="shared" si="12"/>
        <v>枋山鄉</v>
      </c>
      <c r="G337" s="3" t="s">
        <v>258</v>
      </c>
    </row>
    <row r="338" spans="1:7" x14ac:dyDescent="0.3">
      <c r="A338" s="1" t="s">
        <v>924</v>
      </c>
      <c r="B338" t="s">
        <v>925</v>
      </c>
      <c r="C338" t="s">
        <v>926</v>
      </c>
      <c r="E338" t="str">
        <f t="shared" si="13"/>
        <v>屏東縣</v>
      </c>
      <c r="F338" t="str">
        <f t="shared" si="12"/>
        <v>春日鄉</v>
      </c>
      <c r="G338" s="3" t="s">
        <v>261</v>
      </c>
    </row>
    <row r="339" spans="1:7" x14ac:dyDescent="0.3">
      <c r="A339" s="1" t="s">
        <v>927</v>
      </c>
      <c r="B339" t="s">
        <v>928</v>
      </c>
      <c r="C339" t="s">
        <v>929</v>
      </c>
      <c r="E339" t="str">
        <f t="shared" si="13"/>
        <v>屏東縣</v>
      </c>
      <c r="F339" t="str">
        <f t="shared" si="12"/>
        <v>獅子鄉</v>
      </c>
      <c r="G339" s="3" t="s">
        <v>264</v>
      </c>
    </row>
    <row r="340" spans="1:7" x14ac:dyDescent="0.3">
      <c r="A340" s="1" t="s">
        <v>930</v>
      </c>
      <c r="B340" t="s">
        <v>931</v>
      </c>
      <c r="C340" t="s">
        <v>932</v>
      </c>
      <c r="E340" t="str">
        <f t="shared" si="13"/>
        <v>屏東縣</v>
      </c>
      <c r="F340" t="str">
        <f t="shared" si="12"/>
        <v>車城鄉</v>
      </c>
      <c r="G340" s="3" t="s">
        <v>1360</v>
      </c>
    </row>
    <row r="341" spans="1:7" x14ac:dyDescent="0.3">
      <c r="A341" s="1" t="s">
        <v>933</v>
      </c>
      <c r="B341" t="s">
        <v>934</v>
      </c>
      <c r="C341" t="s">
        <v>935</v>
      </c>
      <c r="E341" t="str">
        <f t="shared" si="13"/>
        <v>屏東縣</v>
      </c>
      <c r="F341" t="str">
        <f t="shared" si="12"/>
        <v>牡丹鄉</v>
      </c>
      <c r="G341" s="3" t="s">
        <v>1361</v>
      </c>
    </row>
    <row r="342" spans="1:7" x14ac:dyDescent="0.3">
      <c r="A342" s="1" t="s">
        <v>936</v>
      </c>
      <c r="B342" t="s">
        <v>937</v>
      </c>
      <c r="C342" t="s">
        <v>938</v>
      </c>
      <c r="E342" t="str">
        <f t="shared" si="13"/>
        <v>屏東縣</v>
      </c>
      <c r="F342" t="str">
        <f t="shared" si="12"/>
        <v>恆春鎮</v>
      </c>
      <c r="G342" s="3" t="s">
        <v>1362</v>
      </c>
    </row>
    <row r="343" spans="1:7" x14ac:dyDescent="0.3">
      <c r="A343" s="1" t="s">
        <v>939</v>
      </c>
      <c r="B343" t="s">
        <v>940</v>
      </c>
      <c r="C343" t="s">
        <v>941</v>
      </c>
      <c r="E343" t="str">
        <f t="shared" si="13"/>
        <v>屏東縣</v>
      </c>
      <c r="F343" t="str">
        <f t="shared" si="12"/>
        <v>滿州鄉</v>
      </c>
      <c r="G343" s="3" t="s">
        <v>1363</v>
      </c>
    </row>
    <row r="344" spans="1:7" x14ac:dyDescent="0.3">
      <c r="A344" s="1" t="s">
        <v>942</v>
      </c>
      <c r="B344" t="s">
        <v>1095</v>
      </c>
      <c r="C344" t="s">
        <v>943</v>
      </c>
      <c r="E344" t="str">
        <f t="shared" si="13"/>
        <v>台東縣</v>
      </c>
      <c r="F344" t="str">
        <f t="shared" si="12"/>
        <v>台東市</v>
      </c>
      <c r="G344" s="3" t="s">
        <v>1364</v>
      </c>
    </row>
    <row r="345" spans="1:7" x14ac:dyDescent="0.3">
      <c r="A345" s="1" t="s">
        <v>944</v>
      </c>
      <c r="B345" t="s">
        <v>1096</v>
      </c>
      <c r="C345" t="s">
        <v>945</v>
      </c>
      <c r="E345" t="str">
        <f t="shared" si="13"/>
        <v>台東縣</v>
      </c>
      <c r="F345" t="str">
        <f t="shared" si="12"/>
        <v>綠島鄉</v>
      </c>
      <c r="G345" s="3" t="s">
        <v>1365</v>
      </c>
    </row>
    <row r="346" spans="1:7" x14ac:dyDescent="0.3">
      <c r="A346" s="1" t="s">
        <v>946</v>
      </c>
      <c r="B346" t="s">
        <v>1097</v>
      </c>
      <c r="C346" t="s">
        <v>947</v>
      </c>
      <c r="E346" t="str">
        <f t="shared" si="13"/>
        <v>台東縣</v>
      </c>
      <c r="F346" t="str">
        <f t="shared" si="12"/>
        <v>蘭嶼鄉</v>
      </c>
      <c r="G346" s="3" t="s">
        <v>1366</v>
      </c>
    </row>
    <row r="347" spans="1:7" x14ac:dyDescent="0.3">
      <c r="A347" s="1" t="s">
        <v>948</v>
      </c>
      <c r="B347" t="s">
        <v>1098</v>
      </c>
      <c r="C347" t="s">
        <v>949</v>
      </c>
      <c r="E347" t="str">
        <f t="shared" si="13"/>
        <v>台東縣</v>
      </c>
      <c r="F347" t="str">
        <f t="shared" si="12"/>
        <v>延平鄉</v>
      </c>
      <c r="G347" s="3" t="s">
        <v>1367</v>
      </c>
    </row>
    <row r="348" spans="1:7" x14ac:dyDescent="0.3">
      <c r="A348" s="1" t="s">
        <v>950</v>
      </c>
      <c r="B348" t="s">
        <v>1099</v>
      </c>
      <c r="C348" t="s">
        <v>951</v>
      </c>
      <c r="E348" t="str">
        <f t="shared" si="13"/>
        <v>台東縣</v>
      </c>
      <c r="F348" t="str">
        <f t="shared" si="12"/>
        <v>卑南鄉</v>
      </c>
      <c r="G348" s="3" t="s">
        <v>1368</v>
      </c>
    </row>
    <row r="349" spans="1:7" x14ac:dyDescent="0.3">
      <c r="A349" s="1" t="s">
        <v>952</v>
      </c>
      <c r="B349" t="s">
        <v>1100</v>
      </c>
      <c r="C349" t="s">
        <v>953</v>
      </c>
      <c r="E349" t="str">
        <f t="shared" si="13"/>
        <v>台東縣</v>
      </c>
      <c r="F349" t="str">
        <f t="shared" si="12"/>
        <v>鹿野鄉</v>
      </c>
      <c r="G349" s="3" t="s">
        <v>1369</v>
      </c>
    </row>
    <row r="350" spans="1:7" x14ac:dyDescent="0.3">
      <c r="A350" s="1" t="s">
        <v>954</v>
      </c>
      <c r="B350" t="s">
        <v>1101</v>
      </c>
      <c r="C350" t="s">
        <v>955</v>
      </c>
      <c r="E350" t="str">
        <f t="shared" si="13"/>
        <v>台東縣</v>
      </c>
      <c r="F350" t="str">
        <f t="shared" si="12"/>
        <v>關山鎮</v>
      </c>
      <c r="G350" s="3" t="s">
        <v>1370</v>
      </c>
    </row>
    <row r="351" spans="1:7" x14ac:dyDescent="0.3">
      <c r="A351" s="1" t="s">
        <v>956</v>
      </c>
      <c r="B351" t="s">
        <v>1102</v>
      </c>
      <c r="C351" t="s">
        <v>957</v>
      </c>
      <c r="E351" t="str">
        <f t="shared" si="13"/>
        <v>台東縣</v>
      </c>
      <c r="F351" t="str">
        <f t="shared" si="12"/>
        <v>海端鄉</v>
      </c>
      <c r="G351" s="3" t="s">
        <v>267</v>
      </c>
    </row>
    <row r="352" spans="1:7" x14ac:dyDescent="0.3">
      <c r="A352" s="1" t="s">
        <v>958</v>
      </c>
      <c r="B352" t="s">
        <v>1103</v>
      </c>
      <c r="C352" t="s">
        <v>959</v>
      </c>
      <c r="E352" t="str">
        <f t="shared" si="13"/>
        <v>台東縣</v>
      </c>
      <c r="F352" t="str">
        <f t="shared" si="12"/>
        <v>池上鄉</v>
      </c>
      <c r="G352" s="3" t="s">
        <v>270</v>
      </c>
    </row>
    <row r="353" spans="1:7" x14ac:dyDescent="0.3">
      <c r="A353" s="1" t="s">
        <v>960</v>
      </c>
      <c r="B353" t="s">
        <v>1104</v>
      </c>
      <c r="C353" t="s">
        <v>961</v>
      </c>
      <c r="E353" t="str">
        <f t="shared" si="13"/>
        <v>台東縣</v>
      </c>
      <c r="F353" t="str">
        <f t="shared" si="12"/>
        <v>東河鄉</v>
      </c>
      <c r="G353" s="3" t="s">
        <v>273</v>
      </c>
    </row>
    <row r="354" spans="1:7" x14ac:dyDescent="0.3">
      <c r="A354" s="1" t="s">
        <v>962</v>
      </c>
      <c r="B354" t="s">
        <v>1105</v>
      </c>
      <c r="C354" t="s">
        <v>963</v>
      </c>
      <c r="E354" t="str">
        <f t="shared" si="13"/>
        <v>台東縣</v>
      </c>
      <c r="F354" t="str">
        <f t="shared" si="12"/>
        <v>成功鎮</v>
      </c>
      <c r="G354" s="3" t="s">
        <v>276</v>
      </c>
    </row>
    <row r="355" spans="1:7" x14ac:dyDescent="0.3">
      <c r="A355" s="1" t="s">
        <v>964</v>
      </c>
      <c r="B355" t="s">
        <v>1106</v>
      </c>
      <c r="C355" t="s">
        <v>965</v>
      </c>
      <c r="E355" t="str">
        <f t="shared" si="13"/>
        <v>台東縣</v>
      </c>
      <c r="F355" t="str">
        <f t="shared" si="12"/>
        <v>長濱鄉</v>
      </c>
      <c r="G355" s="3" t="s">
        <v>279</v>
      </c>
    </row>
    <row r="356" spans="1:7" x14ac:dyDescent="0.3">
      <c r="A356" s="1" t="s">
        <v>966</v>
      </c>
      <c r="B356" t="s">
        <v>1107</v>
      </c>
      <c r="C356" t="s">
        <v>967</v>
      </c>
      <c r="E356" t="str">
        <f t="shared" si="13"/>
        <v>台東縣</v>
      </c>
      <c r="F356" t="str">
        <f>RIGHT(B356,4)</f>
        <v>太麻里鄉</v>
      </c>
      <c r="G356" s="3" t="s">
        <v>1371</v>
      </c>
    </row>
    <row r="357" spans="1:7" x14ac:dyDescent="0.3">
      <c r="A357" s="1" t="s">
        <v>968</v>
      </c>
      <c r="B357" t="s">
        <v>1108</v>
      </c>
      <c r="C357" t="s">
        <v>969</v>
      </c>
      <c r="E357" t="str">
        <f t="shared" si="13"/>
        <v>台東縣</v>
      </c>
      <c r="F357" t="str">
        <f t="shared" ref="F357:F372" si="14">RIGHT(B357,3)</f>
        <v>金峰鄉</v>
      </c>
      <c r="G357" s="3" t="s">
        <v>282</v>
      </c>
    </row>
    <row r="358" spans="1:7" x14ac:dyDescent="0.3">
      <c r="A358" s="1" t="s">
        <v>970</v>
      </c>
      <c r="B358" t="s">
        <v>1109</v>
      </c>
      <c r="C358" t="s">
        <v>971</v>
      </c>
      <c r="E358" t="str">
        <f t="shared" si="13"/>
        <v>台東縣</v>
      </c>
      <c r="F358" t="str">
        <f t="shared" si="14"/>
        <v>大武鄉</v>
      </c>
      <c r="G358" s="3" t="s">
        <v>285</v>
      </c>
    </row>
    <row r="359" spans="1:7" x14ac:dyDescent="0.3">
      <c r="A359" s="1" t="s">
        <v>972</v>
      </c>
      <c r="B359" t="s">
        <v>1110</v>
      </c>
      <c r="C359" t="s">
        <v>973</v>
      </c>
      <c r="E359" t="str">
        <f t="shared" si="13"/>
        <v>台東縣</v>
      </c>
      <c r="F359" t="str">
        <f t="shared" si="14"/>
        <v>達仁鄉</v>
      </c>
      <c r="G359" s="3" t="s">
        <v>288</v>
      </c>
    </row>
    <row r="360" spans="1:7" x14ac:dyDescent="0.3">
      <c r="A360" s="1" t="s">
        <v>974</v>
      </c>
      <c r="B360" t="s">
        <v>975</v>
      </c>
      <c r="C360" t="s">
        <v>976</v>
      </c>
      <c r="E360" t="str">
        <f t="shared" si="13"/>
        <v>花蓮縣</v>
      </c>
      <c r="F360" t="str">
        <f t="shared" si="14"/>
        <v>花蓮市</v>
      </c>
      <c r="G360" s="3" t="s">
        <v>1372</v>
      </c>
    </row>
    <row r="361" spans="1:7" x14ac:dyDescent="0.3">
      <c r="A361" s="1" t="s">
        <v>977</v>
      </c>
      <c r="B361" t="s">
        <v>978</v>
      </c>
      <c r="C361" t="s">
        <v>979</v>
      </c>
      <c r="E361" t="str">
        <f t="shared" si="13"/>
        <v>花蓮縣</v>
      </c>
      <c r="F361" t="str">
        <f t="shared" si="14"/>
        <v>新城鄉</v>
      </c>
      <c r="G361" s="3" t="s">
        <v>291</v>
      </c>
    </row>
    <row r="362" spans="1:7" x14ac:dyDescent="0.3">
      <c r="A362" s="1" t="s">
        <v>980</v>
      </c>
      <c r="B362" t="s">
        <v>981</v>
      </c>
      <c r="C362" t="s">
        <v>982</v>
      </c>
      <c r="E362" t="str">
        <f t="shared" si="13"/>
        <v>花蓮縣</v>
      </c>
      <c r="F362" t="str">
        <f t="shared" si="14"/>
        <v>秀林鄉</v>
      </c>
      <c r="G362" s="3" t="s">
        <v>294</v>
      </c>
    </row>
    <row r="363" spans="1:7" x14ac:dyDescent="0.3">
      <c r="A363" s="1" t="s">
        <v>983</v>
      </c>
      <c r="B363" t="s">
        <v>984</v>
      </c>
      <c r="C363" t="s">
        <v>985</v>
      </c>
      <c r="E363" t="str">
        <f t="shared" si="13"/>
        <v>花蓮縣</v>
      </c>
      <c r="F363" t="str">
        <f t="shared" si="14"/>
        <v>吉安鄉</v>
      </c>
      <c r="G363" s="3" t="s">
        <v>297</v>
      </c>
    </row>
    <row r="364" spans="1:7" x14ac:dyDescent="0.3">
      <c r="A364" s="1" t="s">
        <v>986</v>
      </c>
      <c r="B364" t="s">
        <v>987</v>
      </c>
      <c r="C364" t="s">
        <v>988</v>
      </c>
      <c r="E364" t="str">
        <f t="shared" si="13"/>
        <v>花蓮縣</v>
      </c>
      <c r="F364" t="str">
        <f t="shared" si="14"/>
        <v>壽豐鄉</v>
      </c>
      <c r="G364" s="3" t="s">
        <v>300</v>
      </c>
    </row>
    <row r="365" spans="1:7" x14ac:dyDescent="0.3">
      <c r="A365" s="1" t="s">
        <v>989</v>
      </c>
      <c r="B365" t="s">
        <v>990</v>
      </c>
      <c r="C365" t="s">
        <v>991</v>
      </c>
      <c r="E365" t="str">
        <f t="shared" si="13"/>
        <v>花蓮縣</v>
      </c>
      <c r="F365" t="str">
        <f t="shared" si="14"/>
        <v>鳳林鎮</v>
      </c>
      <c r="G365" s="3" t="s">
        <v>303</v>
      </c>
    </row>
    <row r="366" spans="1:7" x14ac:dyDescent="0.3">
      <c r="A366" s="1" t="s">
        <v>992</v>
      </c>
      <c r="B366" t="s">
        <v>993</v>
      </c>
      <c r="C366" t="s">
        <v>994</v>
      </c>
      <c r="E366" t="str">
        <f t="shared" si="13"/>
        <v>花蓮縣</v>
      </c>
      <c r="F366" t="str">
        <f t="shared" si="14"/>
        <v>光復鄉</v>
      </c>
      <c r="G366" s="3" t="s">
        <v>306</v>
      </c>
    </row>
    <row r="367" spans="1:7" x14ac:dyDescent="0.3">
      <c r="A367" s="1" t="s">
        <v>995</v>
      </c>
      <c r="B367" t="s">
        <v>996</v>
      </c>
      <c r="C367" t="s">
        <v>997</v>
      </c>
      <c r="E367" t="str">
        <f t="shared" si="13"/>
        <v>花蓮縣</v>
      </c>
      <c r="F367" t="str">
        <f t="shared" si="14"/>
        <v>豐濱鄉</v>
      </c>
      <c r="G367" s="3" t="s">
        <v>309</v>
      </c>
    </row>
    <row r="368" spans="1:7" x14ac:dyDescent="0.3">
      <c r="A368" s="1" t="s">
        <v>998</v>
      </c>
      <c r="B368" t="s">
        <v>999</v>
      </c>
      <c r="C368" t="s">
        <v>1000</v>
      </c>
      <c r="E368" t="str">
        <f t="shared" si="13"/>
        <v>花蓮縣</v>
      </c>
      <c r="F368" t="str">
        <f t="shared" si="14"/>
        <v>瑞穗鄉</v>
      </c>
      <c r="G368" s="3" t="s">
        <v>312</v>
      </c>
    </row>
    <row r="369" spans="1:7" x14ac:dyDescent="0.3">
      <c r="A369" s="1" t="s">
        <v>1001</v>
      </c>
      <c r="B369" t="s">
        <v>1002</v>
      </c>
      <c r="C369" t="s">
        <v>1003</v>
      </c>
      <c r="E369" t="str">
        <f t="shared" si="13"/>
        <v>花蓮縣</v>
      </c>
      <c r="F369" t="str">
        <f t="shared" si="14"/>
        <v>萬榮鄉</v>
      </c>
      <c r="G369" s="3" t="s">
        <v>315</v>
      </c>
    </row>
    <row r="370" spans="1:7" x14ac:dyDescent="0.3">
      <c r="A370" s="1" t="s">
        <v>1004</v>
      </c>
      <c r="B370" t="s">
        <v>1005</v>
      </c>
      <c r="C370" t="s">
        <v>1006</v>
      </c>
      <c r="E370" t="str">
        <f t="shared" si="13"/>
        <v>花蓮縣</v>
      </c>
      <c r="F370" t="str">
        <f t="shared" si="14"/>
        <v>玉里鎮</v>
      </c>
      <c r="G370" s="3" t="s">
        <v>318</v>
      </c>
    </row>
    <row r="371" spans="1:7" x14ac:dyDescent="0.3">
      <c r="A371" s="1" t="s">
        <v>1007</v>
      </c>
      <c r="B371" t="s">
        <v>1008</v>
      </c>
      <c r="C371" t="s">
        <v>1009</v>
      </c>
      <c r="E371" t="str">
        <f t="shared" si="13"/>
        <v>花蓮縣</v>
      </c>
      <c r="F371" t="str">
        <f t="shared" si="14"/>
        <v>卓溪鄉</v>
      </c>
      <c r="G371" s="3" t="s">
        <v>1373</v>
      </c>
    </row>
    <row r="372" spans="1:7" x14ac:dyDescent="0.3">
      <c r="A372" s="1" t="s">
        <v>1010</v>
      </c>
      <c r="B372" t="s">
        <v>1011</v>
      </c>
      <c r="C372" t="s">
        <v>1012</v>
      </c>
      <c r="E372" t="str">
        <f t="shared" si="13"/>
        <v>花蓮縣</v>
      </c>
      <c r="F372" t="str">
        <f t="shared" si="14"/>
        <v>富里鄉</v>
      </c>
      <c r="G372" s="3" t="s">
        <v>1374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縣市鄉鎮中英對照檔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626940王志銘</dc:creator>
  <cp:lastModifiedBy>冠旻 李</cp:lastModifiedBy>
  <dcterms:created xsi:type="dcterms:W3CDTF">2018-06-14T02:08:26Z</dcterms:created>
  <dcterms:modified xsi:type="dcterms:W3CDTF">2026-04-17T14:53:36Z</dcterms:modified>
</cp:coreProperties>
</file>